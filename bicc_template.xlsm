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5.jpeg" ContentType="image/jpeg"/>
  <Override PartName="/xl/media/image1.jpeg" ContentType="image/jpeg"/>
  <Override PartName="/xl/media/image2.jpeg" ContentType="image/jpeg"/>
  <Override PartName="/xl/media/image3.jpeg" ContentType="image/jpeg"/>
  <Override PartName="/xl/media/image4.jpeg" ContentType="image/jpeg"/>
  <Override PartName="/xl/sharedStrings.xml" ContentType="application/vnd.openxmlformats-officedocument.spreadsheetml.sharedStrings+xml"/>
  <Override PartName="/xl/externalLinks/_rels/externalLink1.xml.rels" ContentType="application/vnd.openxmlformats-package.relationships+xml"/>
  <Override PartName="/xl/externalLinks/externalLink1.xml" ContentType="application/vnd.openxmlformats-officedocument.spreadsheetml.externalLink+xml"/>
  <Override PartName="/xl/drawings/drawing5.xml" ContentType="application/vnd.openxmlformats-officedocument.drawing+xml"/>
  <Override PartName="/xl/drawings/drawing1.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5.xml.rels" ContentType="application/vnd.openxmlformats-package.relationships+xml"/>
  <Override PartName="/xl/drawings/_rels/drawing3.xml.rels" ContentType="application/vnd.openxmlformats-package.relationships+xml"/>
  <Override PartName="/xl/drawings/_rels/drawing4.xml.rels" ContentType="application/vnd.openxmlformats-package.relationship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worksheets/_rels/sheet6.xml.rels" ContentType="application/vnd.openxmlformats-package.relationships+xml"/>
  <Override PartName="/xl/worksheets/_rels/sheet5.xml.rels" ContentType="application/vnd.openxmlformats-package.relationships+xml"/>
  <Override PartName="/xl/worksheets/_rels/sheet2.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4"/>
  </bookViews>
  <sheets>
    <sheet name="Summary" sheetId="1" state="visible" r:id="rId3"/>
    <sheet name="Finance &amp; Benefits" sheetId="2" state="visible" r:id="rId4"/>
    <sheet name="Resource" sheetId="3" state="visible" r:id="rId5"/>
    <sheet name="Approval &amp; Project milestones" sheetId="4" state="visible" r:id="rId6"/>
    <sheet name="Assurance Planning" sheetId="5" state="visible" r:id="rId7"/>
    <sheet name="Dropdown" sheetId="6" state="visible" r:id="rId8"/>
    <sheet name="GMPP" sheetId="7" state="visible" r:id="rId9"/>
    <sheet name="VERSION" sheetId="8" state="visible" r:id="rId10"/>
    <sheet name="DESIGN" sheetId="9" state="visible" r:id="rId11"/>
  </sheets>
  <externalReferences>
    <externalReference r:id="rId12"/>
  </externalReferences>
  <definedNames>
    <definedName function="false" hidden="false" localSheetId="3" name="_xlnm.Print_Area" vbProcedure="false">'Approval &amp; Project milestones'!$A$1:$L$42</definedName>
    <definedName function="false" hidden="false" localSheetId="1" name="_xlnm.Print_Area" vbProcedure="false">'Finance &amp; Benefits'!$A$1:$I$197</definedName>
    <definedName function="false" hidden="false" localSheetId="2" name="_xlnm.Print_Area" vbProcedure="false">Resource!$A$1:$M$39</definedName>
    <definedName function="false" hidden="false" localSheetId="0" name="_xlnm.Print_Area" vbProcedure="false">Summary!$A$1:$L$49</definedName>
    <definedName function="false" hidden="false" name="Agencies" vbProcedure="false">#REF!</definedName>
    <definedName function="false" hidden="false" name="ARCat" vbProcedure="false">#REF!</definedName>
    <definedName function="false" hidden="false" name="BC" vbProcedure="false">#REF!</definedName>
    <definedName function="false" hidden="false" name="BCAll" vbProcedure="false">#REF!</definedName>
    <definedName function="false" hidden="false" name="BCs" vbProcedure="false">#REF!</definedName>
    <definedName function="false" hidden="false" name="Benefits_years" vbProcedure="false">#REF!</definedName>
    <definedName function="false" hidden="false" name="BenYears" vbProcedure="false">#REF!</definedName>
    <definedName function="false" hidden="false" name="BIS" vbProcedure="false">Depts</definedName>
    <definedName function="false" hidden="false" name="Depts" vbProcedure="false">#REF!</definedName>
    <definedName function="false" hidden="false" name="BUSCASE" vbProcedure="false">[1]Categories!$D$1:$D$7</definedName>
    <definedName function="false" hidden="false" name="BusinessCase" vbProcedure="false">#REF!</definedName>
    <definedName function="false" hidden="false" name="CapRAG" vbProcedure="false">#REF!</definedName>
    <definedName function="false" hidden="false" name="Category" vbProcedure="false">#REF!</definedName>
    <definedName function="false" hidden="false" name="Category_2" vbProcedure="false">#REF!</definedName>
    <definedName function="false" hidden="false" name="Class" vbProcedure="false">#REF!</definedName>
    <definedName function="false" hidden="false" name="Count" vbProcedure="false">#REF!</definedName>
    <definedName function="false" hidden="false" name="Cycle" vbProcedure="false">#REF!</definedName>
    <definedName function="false" hidden="false" name="Deflator" vbProcedure="false">#REF!</definedName>
    <definedName function="false" hidden="false" name="Depts." vbProcedure="false">#REF!</definedName>
    <definedName function="false" hidden="false" name="DeptSplit" vbProcedure="false">#REF!</definedName>
    <definedName function="false" hidden="false" name="EndYears" vbProcedure="false">#REF!</definedName>
    <definedName function="false" hidden="false" name="Entity" vbProcedure="false">#REF!</definedName>
    <definedName function="false" hidden="false" name="FIELDS_NEEDED" vbProcedure="false">[1]Categories!$E$1:$E$5</definedName>
    <definedName function="false" hidden="false" name="FinT" vbProcedure="false">#REF!</definedName>
    <definedName function="false" hidden="false" name="Format" vbProcedure="false">#REF!</definedName>
    <definedName function="false" hidden="false" name="Green" vbProcedure="false">#REF!</definedName>
    <definedName function="false" hidden="false" name="JoiningQtr" vbProcedure="false">#REF!</definedName>
    <definedName function="false" hidden="false" name="Meth" vbProcedure="false">#REF!</definedName>
    <definedName function="false" hidden="false" name="Meth_1" vbProcedure="false">#REF!</definedName>
    <definedName function="false" hidden="false" name="Meth_2" vbProcedure="false">#REF!</definedName>
    <definedName function="false" hidden="false" name="Meth_3" vbProcedure="false">#REF!</definedName>
    <definedName function="false" hidden="false" name="MPLAPLP" vbProcedure="false">#REF!</definedName>
    <definedName function="false" hidden="false" name="MT" vbProcedure="false">#REF!</definedName>
    <definedName function="false" hidden="false" name="MTypes" vbProcedure="false">#REF!</definedName>
    <definedName function="false" hidden="false" name="MTypes2" vbProcedure="false">#REF!</definedName>
    <definedName function="false" hidden="false" name="NMBens" vbProcedure="false">#REF!</definedName>
    <definedName function="false" hidden="false" name="Percentage" vbProcedure="false">#REF!</definedName>
    <definedName function="false" hidden="false" name="PLChanges" vbProcedure="false">#REF!</definedName>
    <definedName function="false" hidden="false" name="PorUP" vbProcedure="false">#REF!</definedName>
    <definedName function="false" hidden="false" name="Programme" vbProcedure="false">Dropdown!$AC$2:$AC$7</definedName>
    <definedName function="false" hidden="false" name="programme2" vbProcedure="false">#REF!</definedName>
    <definedName function="false" hidden="false" name="Project" vbProcedure="false">Dropdown!$AB$2:$AB$10</definedName>
    <definedName function="false" hidden="false" name="Quarters" vbProcedure="false">#REF!</definedName>
    <definedName function="false" hidden="false" name="Quarters2" vbProcedure="false">#REF!</definedName>
    <definedName function="false" hidden="false" name="RAG" vbProcedure="false">#REF!</definedName>
    <definedName function="false" hidden="false" name="RAGs" vbProcedure="false">#REF!</definedName>
    <definedName function="false" hidden="false" name="RealNom" vbProcedure="false">#REF!</definedName>
    <definedName function="false" hidden="false" name="RNom" vbProcedure="false">#REF!</definedName>
    <definedName function="false" hidden="false" name="RPA" vbProcedure="false">#REF!</definedName>
    <definedName function="false" hidden="false" name="Salutation" vbProcedure="false">#REF!</definedName>
    <definedName function="false" hidden="false" name="ScopeChange" vbProcedure="false">#REF!</definedName>
    <definedName function="false" hidden="false" name="Snapshot" vbProcedure="false">#REF!</definedName>
    <definedName function="false" hidden="false" name="SNAPSHOT2" vbProcedure="false">#REF!</definedName>
    <definedName function="false" hidden="false" name="SROLetter" vbProcedure="false">#REF!</definedName>
    <definedName function="false" hidden="false" name="Stage" vbProcedure="false">#REF!</definedName>
    <definedName function="false" hidden="false" name="Years" vbProcedure="false">#REF!</definedName>
    <definedName function="false" hidden="false" name="Years_3" vbProcedure="false">#REF!</definedName>
    <definedName function="false" hidden="false" name="Years_4" vbProcedure="false">#REF!</definedName>
    <definedName function="false" hidden="false" name="YEARS_5" vbProcedure="false">#REF!</definedName>
    <definedName function="false" hidden="false" name="Years_6" vbProcedure="false">#REF!</definedName>
    <definedName function="false" hidden="false" name="YN" vbProcedure="false">#REF!</definedName>
    <definedName function="false" hidden="false" name="YN_2" vbProcedure="false">#REF!</definedName>
    <definedName function="false" hidden="false" localSheetId="0" name="Print_Area_0" vbProcedure="false">Summary!$A$1:$L$49</definedName>
    <definedName function="false" hidden="false" localSheetId="0" name="Print_Area_0_0" vbProcedure="false">Summary!$A$1:$L$49</definedName>
    <definedName function="false" hidden="false" localSheetId="0" name="Print_Area_0_0_0" vbProcedure="false">Summary!$A$1:$L$49</definedName>
    <definedName function="false" hidden="false" localSheetId="0" name="Print_Area_0_0_0_0" vbProcedure="false">Summary!$A$1:$L$49</definedName>
    <definedName function="false" hidden="false" localSheetId="0" name="Print_Area_0_0_0_0_0" vbProcedure="false">Summary!$A$1:$L$49</definedName>
    <definedName function="false" hidden="false" localSheetId="0" name="Print_Area_0_0_0_0_0_0" vbProcedure="false">Summary!$A$1:$L$49</definedName>
    <definedName function="false" hidden="false" localSheetId="0" name="Print_Area_0_0_0_0_0_0_0" vbProcedure="false">Summary!$A$1:$L$49</definedName>
    <definedName function="false" hidden="false" localSheetId="0" name="Print_Area_0_0_0_0_0_0_0_0" vbProcedure="false">Summary!$A$1:$L$49</definedName>
    <definedName function="false" hidden="false" localSheetId="0" name="Print_Area_0_0_0_0_0_0_0_0_0" vbProcedure="false">Summary!$A$1:$L$49</definedName>
    <definedName function="false" hidden="false" localSheetId="0" name="Print_Area_0_0_0_0_0_0_0_0_0_0" vbProcedure="false">Summary!$A$1:$L$49</definedName>
    <definedName function="false" hidden="false" localSheetId="0" name="_xlnm.Print_Area" vbProcedure="false">Summary!$A$1:$L$49</definedName>
    <definedName function="false" hidden="false" localSheetId="1" name="Print_Area_0" vbProcedure="false">'Finance &amp; Benefits'!$A$1:$I$197</definedName>
    <definedName function="false" hidden="false" localSheetId="1" name="Print_Area_0_0" vbProcedure="false">'Finance &amp; Benefits'!$A$1:$I$197</definedName>
    <definedName function="false" hidden="false" localSheetId="1" name="Print_Area_0_0_0" vbProcedure="false">'Finance &amp; Benefits'!$A$1:$I$197</definedName>
    <definedName function="false" hidden="false" localSheetId="1" name="Print_Area_0_0_0_0" vbProcedure="false">'Finance &amp; Benefits'!$A$1:$I$197</definedName>
    <definedName function="false" hidden="false" localSheetId="1" name="Print_Area_0_0_0_0_0" vbProcedure="false">'Finance &amp; Benefits'!$A$1:$I$197</definedName>
    <definedName function="false" hidden="false" localSheetId="1" name="Print_Area_0_0_0_0_0_0" vbProcedure="false">'Finance &amp; Benefits'!$A$1:$I$197</definedName>
    <definedName function="false" hidden="false" localSheetId="1" name="Print_Area_0_0_0_0_0_0_0" vbProcedure="false">'Finance &amp; Benefits'!$A$1:$I$197</definedName>
    <definedName function="false" hidden="false" localSheetId="1" name="Print_Area_0_0_0_0_0_0_0_0" vbProcedure="false">'Finance &amp; Benefits'!$A$1:$I$197</definedName>
    <definedName function="false" hidden="false" localSheetId="1" name="Print_Area_0_0_0_0_0_0_0_0_0" vbProcedure="false">'Finance &amp; Benefits'!$A$1:$I$197</definedName>
    <definedName function="false" hidden="false" localSheetId="1" name="Print_Area_0_0_0_0_0_0_0_0_0_0" vbProcedure="false">'Finance &amp; Benefits'!$A$1:$I$197</definedName>
    <definedName function="false" hidden="false" localSheetId="1" name="_xlnm.Print_Area" vbProcedure="false">'Finance &amp; Benefits'!$A$1:$I$197</definedName>
    <definedName function="false" hidden="false" localSheetId="2" name="Print_Area_0" vbProcedure="false">Resource!$A$1:$M$39</definedName>
    <definedName function="false" hidden="false" localSheetId="2" name="Print_Area_0_0" vbProcedure="false">Resource!$A$1:$M$39</definedName>
    <definedName function="false" hidden="false" localSheetId="2" name="Print_Area_0_0_0" vbProcedure="false">Resource!$A$1:$M$39</definedName>
    <definedName function="false" hidden="false" localSheetId="2" name="Print_Area_0_0_0_0" vbProcedure="false">Resource!$A$1:$M$39</definedName>
    <definedName function="false" hidden="false" localSheetId="2" name="Print_Area_0_0_0_0_0" vbProcedure="false">Resource!$A$1:$M$39</definedName>
    <definedName function="false" hidden="false" localSheetId="2" name="Print_Area_0_0_0_0_0_0" vbProcedure="false">Resource!$A$1:$M$39</definedName>
    <definedName function="false" hidden="false" localSheetId="2" name="Print_Area_0_0_0_0_0_0_0" vbProcedure="false">Resource!$A$1:$M$39</definedName>
    <definedName function="false" hidden="false" localSheetId="2" name="Print_Area_0_0_0_0_0_0_0_0" vbProcedure="false">Resource!$A$1:$M$39</definedName>
    <definedName function="false" hidden="false" localSheetId="2" name="Print_Area_0_0_0_0_0_0_0_0_0" vbProcedure="false">Resource!$A$1:$M$39</definedName>
    <definedName function="false" hidden="false" localSheetId="2" name="Print_Area_0_0_0_0_0_0_0_0_0_0" vbProcedure="false">Resource!$A$1:$M$39</definedName>
    <definedName function="false" hidden="false" localSheetId="2" name="_xlnm.Print_Area" vbProcedure="false">Resource!$A$1:$M$39</definedName>
    <definedName function="false" hidden="false" localSheetId="3" name="Concept" vbProcedure="false">Dropdown!$AD$2:$AD$19</definedName>
    <definedName function="false" hidden="false" localSheetId="3" name="Other" vbProcedure="false">Dropdown!$AD$2:$AD$19</definedName>
    <definedName function="false" hidden="false" localSheetId="3" name="Print_Area_0" vbProcedure="false">'Approval &amp; Project milestones'!$A$1:$L$42</definedName>
    <definedName function="false" hidden="false" localSheetId="3" name="Print_Area_0_0" vbProcedure="false">'Approval &amp; Project milestones'!$A$1:$L$42</definedName>
    <definedName function="false" hidden="false" localSheetId="3" name="Print_Area_0_0_0" vbProcedure="false">'Approval &amp; Project milestones'!$A$1:$L$42</definedName>
    <definedName function="false" hidden="false" localSheetId="3" name="Print_Area_0_0_0_0" vbProcedure="false">'Approval &amp; Project milestones'!$A$1:$L$42</definedName>
    <definedName function="false" hidden="false" localSheetId="3" name="Print_Area_0_0_0_0_0" vbProcedure="false">'Approval &amp; Project milestones'!$A$1:$L$42</definedName>
    <definedName function="false" hidden="false" localSheetId="3" name="Print_Area_0_0_0_0_0_0" vbProcedure="false">'Approval &amp; Project milestones'!$A$1:$L$42</definedName>
    <definedName function="false" hidden="false" localSheetId="3" name="Print_Area_0_0_0_0_0_0_0" vbProcedure="false">'Approval &amp; Project milestones'!$A$1:$L$42</definedName>
    <definedName function="false" hidden="false" localSheetId="3" name="Print_Area_0_0_0_0_0_0_0_0" vbProcedure="false">'Approval &amp; Project milestones'!$A$1:$L$42</definedName>
    <definedName function="false" hidden="false" localSheetId="3" name="Print_Area_0_0_0_0_0_0_0_0_0" vbProcedure="false">'Approval &amp; Project milestones'!$A$1:$L$42</definedName>
    <definedName function="false" hidden="false" localSheetId="3" name="Print_Area_0_0_0_0_0_0_0_0_0_0" vbProcedure="false">'Approval &amp; Project milestones'!$A$1:$L$42</definedName>
    <definedName function="false" hidden="false" localSheetId="3" name="_xlnm.Print_Area" vbProcedure="false">'Approval &amp; Project milestones'!$A$1:$L$42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<sst xmlns="http://schemas.openxmlformats.org/spreadsheetml/2006/main" count="1124" uniqueCount="697">
  <si>
    <t xml:space="preserve">OFFICIAL SENSITIVE - WHEN COMPLETE</t>
  </si>
  <si>
    <t xml:space="preserve">New Info/Data requirements this quarter</t>
  </si>
  <si>
    <t xml:space="preserve">BOARD INVESTMENT COMMERICAL COMMITTEE TIER 1 PORTFOLIO REPORT </t>
  </si>
  <si>
    <t xml:space="preserve">PART 1 - SUMMARY </t>
  </si>
  <si>
    <t xml:space="preserve">Reporting Period</t>
  </si>
  <si>
    <t xml:space="preserve">Qtr. Joined BICC Portfolio</t>
  </si>
  <si>
    <t xml:space="preserve">Project / Programme Name</t>
  </si>
  <si>
    <t xml:space="preserve">GMPP</t>
  </si>
  <si>
    <t xml:space="preserve">Top 37</t>
  </si>
  <si>
    <t xml:space="preserve">Project ID (DfT / IPA)</t>
  </si>
  <si>
    <t xml:space="preserve">IUK top 40</t>
  </si>
  <si>
    <t xml:space="preserve">DfT Business Plan</t>
  </si>
  <si>
    <t xml:space="preserve">DfT Group</t>
  </si>
  <si>
    <t xml:space="preserve">Working Contact</t>
  </si>
  <si>
    <t xml:space="preserve">Name</t>
  </si>
  <si>
    <t xml:space="preserve">DfT Division</t>
  </si>
  <si>
    <t xml:space="preserve">Telephone</t>
  </si>
  <si>
    <t xml:space="preserve">Agency or Delivery Partner</t>
  </si>
  <si>
    <t xml:space="preserve">Email</t>
  </si>
  <si>
    <t xml:space="preserve">Senior Responsible Owner (SRO)</t>
  </si>
  <si>
    <t xml:space="preserve">Programme / Project Director</t>
  </si>
  <si>
    <t xml:space="preserve">If Secondary PD(s) please list here</t>
  </si>
  <si>
    <t xml:space="preserve">Telephone </t>
  </si>
  <si>
    <t xml:space="preserve">SRO tenure start date</t>
  </si>
  <si>
    <t xml:space="preserve">PD tenure start date</t>
  </si>
  <si>
    <t xml:space="preserve">Date of current SRO letter issued</t>
  </si>
  <si>
    <t xml:space="preserve">Date if PD letter issued</t>
  </si>
  <si>
    <t xml:space="preserve">SRO tenure end date</t>
  </si>
  <si>
    <t xml:space="preserve">PD tenure end date</t>
  </si>
  <si>
    <t xml:space="preserve">% of time spent on SRO role</t>
  </si>
  <si>
    <t xml:space="preserve">% of time spent on PD role</t>
  </si>
  <si>
    <t xml:space="preserve">Has the SRO changed?</t>
  </si>
  <si>
    <t xml:space="preserve">Has the PD changed ?</t>
  </si>
  <si>
    <t xml:space="preserve">If yes, please state the reason</t>
  </si>
  <si>
    <t xml:space="preserve">SRO MPLA status</t>
  </si>
  <si>
    <t xml:space="preserve">PD MPLA status</t>
  </si>
  <si>
    <t xml:space="preserve">SRO MPLA - if 'other' please describe</t>
  </si>
  <si>
    <t xml:space="preserve">PD MPLA - if 'other' please describe</t>
  </si>
  <si>
    <t xml:space="preserve">SRO PLP status</t>
  </si>
  <si>
    <t xml:space="preserve">PD PLP status</t>
  </si>
  <si>
    <t xml:space="preserve">SRO PLP - if 'other please describe</t>
  </si>
  <si>
    <t xml:space="preserve">PD PLP - if 'other please describe</t>
  </si>
  <si>
    <t xml:space="preserve">Strategic Alignment / Government Policy</t>
  </si>
  <si>
    <t xml:space="preserve">Project Scope</t>
  </si>
  <si>
    <r>
      <rPr>
        <b val="true"/>
        <sz val="12"/>
        <color rgb="FFFFFFFF"/>
        <rFont val="Arial"/>
        <family val="2"/>
        <charset val="1"/>
      </rPr>
      <t xml:space="preserve">Brief Project Description </t>
    </r>
    <r>
      <rPr>
        <sz val="12"/>
        <color rgb="FFFFFFFF"/>
        <rFont val="Arial"/>
        <family val="2"/>
        <charset val="1"/>
      </rPr>
      <t xml:space="preserve">(please keep to a short sentence)</t>
    </r>
  </si>
  <si>
    <t xml:space="preserve">Single Departmental Plan Alignment</t>
  </si>
  <si>
    <t xml:space="preserve">Risk Level (RPA)</t>
  </si>
  <si>
    <t xml:space="preserve">Rating</t>
  </si>
  <si>
    <t xml:space="preserve">Date</t>
  </si>
  <si>
    <t xml:space="preserve">Delivery Structure</t>
  </si>
  <si>
    <t xml:space="preserve">Project</t>
  </si>
  <si>
    <t xml:space="preserve">List Strategic outcomes (monetised and non-monetised benefits)</t>
  </si>
  <si>
    <t xml:space="preserve">State if other</t>
  </si>
  <si>
    <t xml:space="preserve">Has project scope changed this quarter? If yes please provide reason in cell H35. </t>
  </si>
  <si>
    <t xml:space="preserve">Project Methodology</t>
  </si>
  <si>
    <t xml:space="preserve">Waterfall</t>
  </si>
  <si>
    <t xml:space="preserve">If other please provide description</t>
  </si>
  <si>
    <t xml:space="preserve">Project Classification</t>
  </si>
  <si>
    <t xml:space="preserve">Primary Category</t>
  </si>
  <si>
    <t xml:space="preserve">Secondary Category</t>
  </si>
  <si>
    <t xml:space="preserve">Tertiary Category</t>
  </si>
  <si>
    <t xml:space="preserve">SRO Overall Delivery Confidence</t>
  </si>
  <si>
    <r>
      <rPr>
        <b val="true"/>
        <sz val="12"/>
        <color rgb="FFFFFFFF"/>
        <rFont val="Arial"/>
        <family val="2"/>
        <charset val="1"/>
      </rPr>
      <t xml:space="preserve">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</si>
  <si>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 xml:space="preserve">SRO Sign-off date</t>
  </si>
  <si>
    <t xml:space="preserve">BICC Portfolio Office</t>
  </si>
  <si>
    <t xml:space="preserve">PART 2 - FINANCIALS</t>
  </si>
  <si>
    <t xml:space="preserve">Finance (£m)</t>
  </si>
  <si>
    <t xml:space="preserve">SRO Finance Confidence</t>
  </si>
  <si>
    <t xml:space="preserve">Source of Finance</t>
  </si>
  <si>
    <t xml:space="preserve">Business Case used to source figures</t>
  </si>
  <si>
    <t xml:space="preserve">Latest BICC approval point</t>
  </si>
  <si>
    <t xml:space="preserve">Name of source if not Business Case</t>
  </si>
  <si>
    <t xml:space="preserve">Latest HMT approvals point</t>
  </si>
  <si>
    <t xml:space="preserve">Date of Business Case</t>
  </si>
  <si>
    <t xml:space="preserve">Date of HMT approval point</t>
  </si>
  <si>
    <t xml:space="preserve">Version number of document used to source figures</t>
  </si>
  <si>
    <t xml:space="preserve">Date document approved by SRO</t>
  </si>
  <si>
    <t xml:space="preserve">Does the project have a significant steel requirement with a capital value of £10m or above?</t>
  </si>
  <si>
    <t xml:space="preserve">https://www.gov.uk/government/publications/procurement-policy-note-1615-procuring-steel-in-major-projects</t>
  </si>
  <si>
    <t xml:space="preserve">Cost (£m)</t>
  </si>
  <si>
    <t xml:space="preserve">Real or Nominal</t>
  </si>
  <si>
    <t xml:space="preserve">Baseline/Budget</t>
  </si>
  <si>
    <t xml:space="preserve">Actual / Forecast</t>
  </si>
  <si>
    <t xml:space="preserve">Nominal</t>
  </si>
  <si>
    <t xml:space="preserve">Index Year</t>
  </si>
  <si>
    <t xml:space="preserve">Deflator</t>
  </si>
  <si>
    <t xml:space="preserve">Source of finance</t>
  </si>
  <si>
    <r>
      <rPr>
        <b val="true"/>
        <sz val="12"/>
        <color rgb="FFFFFFFF"/>
        <rFont val="Arial"/>
        <family val="2"/>
        <charset val="1"/>
      </rPr>
      <t xml:space="preserve">If</t>
    </r>
    <r>
      <rPr>
        <sz val="12"/>
        <color rgb="FFFFFFFF"/>
        <rFont val="Arial"/>
        <family val="2"/>
        <charset val="1"/>
      </rPr>
      <t xml:space="preserve"> </t>
    </r>
    <r>
      <rPr>
        <b val="true"/>
        <sz val="12"/>
        <color rgb="FFFFFFFF"/>
        <rFont val="Arial"/>
        <family val="2"/>
        <charset val="1"/>
      </rPr>
      <t xml:space="preserve">'other' describe</t>
    </r>
  </si>
  <si>
    <t xml:space="preserve">Calculated Net Present Value (NPV) for all projects, programmes if available</t>
  </si>
  <si>
    <t xml:space="preserve">Forecast Project cost to closure (£m)</t>
  </si>
  <si>
    <t xml:space="preserve">Delegated Expenditure (£m)</t>
  </si>
  <si>
    <t xml:space="preserve">RDEL or CDEL (please record AME spend in Non-Gov)</t>
  </si>
  <si>
    <t xml:space="preserve">Resource - RDEL</t>
  </si>
  <si>
    <r>
      <rPr>
        <b val="true"/>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val="true"/>
        <sz val="12"/>
        <color rgb="FFFFFFFF"/>
        <rFont val="Arial"/>
        <family val="2"/>
        <charset val="1"/>
      </rPr>
      <t xml:space="preserve">Forecast: </t>
    </r>
    <r>
      <rPr>
        <sz val="12"/>
        <color rgb="FFFFFFFF"/>
        <rFont val="Arial"/>
        <family val="2"/>
        <charset val="1"/>
      </rPr>
      <t xml:space="preserve">should reflect latest available cost profile for project</t>
    </r>
  </si>
  <si>
    <t xml:space="preserve">RDEL (one off new cost)</t>
  </si>
  <si>
    <t xml:space="preserve">RDEL (recurring new costs)</t>
  </si>
  <si>
    <t xml:space="preserve">RDEL (recurring old cost)</t>
  </si>
  <si>
    <t xml:space="preserve">All RDEL (WLC) Total</t>
  </si>
  <si>
    <t xml:space="preserve">Non-Gov (£m) both Revenue and Capital including AME</t>
  </si>
  <si>
    <t xml:space="preserve">Income (£m) both Revenue and Capital </t>
  </si>
  <si>
    <t xml:space="preserve">Pre 2014/2015</t>
  </si>
  <si>
    <t xml:space="preserve">Baseline </t>
  </si>
  <si>
    <t xml:space="preserve">Actual</t>
  </si>
  <si>
    <t xml:space="preserve">2014/2015</t>
  </si>
  <si>
    <t xml:space="preserve">2015/2016</t>
  </si>
  <si>
    <t xml:space="preserve">2016/2017</t>
  </si>
  <si>
    <t xml:space="preserve">Pre 2017/2018</t>
  </si>
  <si>
    <t xml:space="preserve">Budget</t>
  </si>
  <si>
    <t xml:space="preserve">2017/2018 Spend on Profile</t>
  </si>
  <si>
    <t xml:space="preserve">Yes/No</t>
  </si>
  <si>
    <t xml:space="preserve">2017/2018</t>
  </si>
  <si>
    <t xml:space="preserve">Remaining SR Period.
2017/18 - 2019/20 (RDEL)
2017/18 - 2020/21 (AME)</t>
  </si>
  <si>
    <t xml:space="preserve">Forecast</t>
  </si>
  <si>
    <t xml:space="preserve">Pre 2018/2019</t>
  </si>
  <si>
    <t xml:space="preserve">2018/2019</t>
  </si>
  <si>
    <t xml:space="preserve">Pre 2019/2020</t>
  </si>
  <si>
    <t xml:space="preserve">2019/2020</t>
  </si>
  <si>
    <t xml:space="preserve">Pre 2020/2021</t>
  </si>
  <si>
    <t xml:space="preserve">2020/2021</t>
  </si>
  <si>
    <t xml:space="preserve">Pre 2021/2022</t>
  </si>
  <si>
    <t xml:space="preserve">2021/2022</t>
  </si>
  <si>
    <t xml:space="preserve">Pre 2022/2023</t>
  </si>
  <si>
    <t xml:space="preserve">2022/2023</t>
  </si>
  <si>
    <t xml:space="preserve">2023/2024</t>
  </si>
  <si>
    <t xml:space="preserve">2024/2025</t>
  </si>
  <si>
    <t xml:space="preserve">2025/2026</t>
  </si>
  <si>
    <t xml:space="preserve">2026/2027</t>
  </si>
  <si>
    <t xml:space="preserve">2027/2028</t>
  </si>
  <si>
    <t xml:space="preserve">Remaining Unprofiled Spend</t>
  </si>
  <si>
    <t xml:space="preserve">Total</t>
  </si>
  <si>
    <t xml:space="preserve">Annual Steady state for recurring new costs</t>
  </si>
  <si>
    <t xml:space="preserve">Year RDEL spend stops</t>
  </si>
  <si>
    <t xml:space="preserve">Project RDEL cost narrative (500 word limit)</t>
  </si>
  <si>
    <t xml:space="preserve">Capital - CDEL</t>
  </si>
  <si>
    <t xml:space="preserve">CDEL (one off new cost)</t>
  </si>
  <si>
    <t xml:space="preserve">CDEL (recurring new costs)</t>
  </si>
  <si>
    <t xml:space="preserve">CDEL (recurring old cost)</t>
  </si>
  <si>
    <t xml:space="preserve">All CDEL (WLC) Total</t>
  </si>
  <si>
    <t xml:space="preserve">Remaining SR Period.
2017/18 - 2020/21 (CDEL)</t>
  </si>
  <si>
    <t xml:space="preserve">Year CDEL spend stops</t>
  </si>
  <si>
    <t xml:space="preserve">Project CDEL cost narrative (500 word limit)</t>
  </si>
  <si>
    <t xml:space="preserve">Budget / Baseline</t>
  </si>
  <si>
    <t xml:space="preserve">Actual/Forecast</t>
  </si>
  <si>
    <t xml:space="preserve">Variance</t>
  </si>
  <si>
    <t xml:space="preserve">Total cost up to end of Spending Review Period</t>
  </si>
  <si>
    <t xml:space="preserve">Total WLC (RDEL)</t>
  </si>
  <si>
    <t xml:space="preserve">Total WLC (CDEL)</t>
  </si>
  <si>
    <t xml:space="preserve">Total WLC (Non-Gov)</t>
  </si>
  <si>
    <t xml:space="preserve">Total WLC</t>
  </si>
  <si>
    <t xml:space="preserve">PART 3 - BENEFITS</t>
  </si>
  <si>
    <t xml:space="preserve">Benefits Management</t>
  </si>
  <si>
    <t xml:space="preserve">Benefits Map</t>
  </si>
  <si>
    <t xml:space="preserve">Benefits Analysed</t>
  </si>
  <si>
    <t xml:space="preserve">SRO Benefits Delivery RAG rating</t>
  </si>
  <si>
    <t xml:space="preserve">Benefits Realisation Plan</t>
  </si>
  <si>
    <t xml:space="preserve">Benefits</t>
  </si>
  <si>
    <t xml:space="preserve">Gov.Cashable</t>
  </si>
  <si>
    <t xml:space="preserve">Gov.Non-Cashable</t>
  </si>
  <si>
    <t xml:space="preserve">Economic (inc.private partner)</t>
  </si>
  <si>
    <t xml:space="preserve">Disbenefits UK Economic</t>
  </si>
  <si>
    <t xml:space="preserve">Total Monetised Benefits. (Disbenefits not included.)</t>
  </si>
  <si>
    <t xml:space="preserve">Remaining Unprofiled benefits to project</t>
  </si>
  <si>
    <t xml:space="preserve">Forecast/Actual</t>
  </si>
  <si>
    <t xml:space="preserve">What year are the benefits calculated to?</t>
  </si>
  <si>
    <t xml:space="preserve">Benefits Cost Ratio (BCR)</t>
  </si>
  <si>
    <t xml:space="preserve">Initial BCR</t>
  </si>
  <si>
    <t xml:space="preserve">Present Value Cost (PVC)</t>
  </si>
  <si>
    <t xml:space="preserve">VfM category</t>
  </si>
  <si>
    <t xml:space="preserve">Adjusted BCR</t>
  </si>
  <si>
    <t xml:space="preserve">present Value Benefit (PVB)</t>
  </si>
  <si>
    <t xml:space="preserve">For portfolio level analysis how should we calculate the net benefits position?</t>
  </si>
  <si>
    <t xml:space="preserve">Deduct RDEL one off new costs? </t>
  </si>
  <si>
    <t xml:space="preserve">Deduct RDEL Recurring new costs?</t>
  </si>
  <si>
    <t xml:space="preserve">Deduct RDEL recurring old?</t>
  </si>
  <si>
    <t xml:space="preserve">No deductions net benefits provided?</t>
  </si>
  <si>
    <t xml:space="preserve">Deduct CDEL one off new costs? </t>
  </si>
  <si>
    <t xml:space="preserve">Deduct CDEL Recurring new costs?</t>
  </si>
  <si>
    <t xml:space="preserve">Deduct CDEL recurring old?</t>
  </si>
  <si>
    <t xml:space="preserve">Other - please describe</t>
  </si>
  <si>
    <t xml:space="preserve">Benefits narrative (500 words)</t>
  </si>
  <si>
    <t xml:space="preserve">Part 4 - RESOURCE</t>
  </si>
  <si>
    <t xml:space="preserve">Project Recourses</t>
  </si>
  <si>
    <t xml:space="preserve">Grade</t>
  </si>
  <si>
    <t xml:space="preserve">No. of public sector employees</t>
  </si>
  <si>
    <t xml:space="preserve">No. of external contractors working on project</t>
  </si>
  <si>
    <t xml:space="preserve">No. of vacancies</t>
  </si>
  <si>
    <t xml:space="preserve">Total number of employees funded to work on project</t>
  </si>
  <si>
    <t xml:space="preserve">SCS (PB3)</t>
  </si>
  <si>
    <t xml:space="preserve">SCS (PB2)</t>
  </si>
  <si>
    <t xml:space="preserve">SCS (PB1)</t>
  </si>
  <si>
    <t xml:space="preserve">Grade 6 (PB7)</t>
  </si>
  <si>
    <t xml:space="preserve">Grade 7 (PB6)</t>
  </si>
  <si>
    <t xml:space="preserve">FastSteam</t>
  </si>
  <si>
    <t xml:space="preserve">SEO (PB5)</t>
  </si>
  <si>
    <t xml:space="preserve">HEO (PB4)</t>
  </si>
  <si>
    <t xml:space="preserve">EO (PB3)</t>
  </si>
  <si>
    <t xml:space="preserve">AO (PB2)</t>
  </si>
  <si>
    <t xml:space="preserve">AA (PB1)</t>
  </si>
  <si>
    <t xml:space="preserve">Resource commentary</t>
  </si>
  <si>
    <t xml:space="preserve">Project / Industry Capability and Capacity</t>
  </si>
  <si>
    <t xml:space="preserve">Internal Project Team</t>
  </si>
  <si>
    <t xml:space="preserve">SRO Skills RAG rating overall (Internal / External)</t>
  </si>
  <si>
    <t xml:space="preserve">Function / Expertise</t>
  </si>
  <si>
    <t xml:space="preserve">No. of vacancies / skills gap</t>
  </si>
  <si>
    <t xml:space="preserve">Now</t>
  </si>
  <si>
    <t xml:space="preserve">Future</t>
  </si>
  <si>
    <t xml:space="preserve">Digital</t>
  </si>
  <si>
    <t xml:space="preserve">Red</t>
  </si>
  <si>
    <t xml:space="preserve">Lack of resource for this skill presents a serious concern and may impact on the successful delivery of the project to time, cost &amp; quality</t>
  </si>
  <si>
    <t xml:space="preserve">Information Technology</t>
  </si>
  <si>
    <t xml:space="preserve">Amber</t>
  </si>
  <si>
    <t xml:space="preserve">Some concern over resource for this skill, with possible implications for successful delivery of project to time, cost &amp; quality</t>
  </si>
  <si>
    <t xml:space="preserve">Legal, Commercial &amp; Contract management</t>
  </si>
  <si>
    <t xml:space="preserve">Green</t>
  </si>
  <si>
    <t xml:space="preserve">Resource for this skill is largely satisfactory for successfully delivering project to time, cost &amp; quality</t>
  </si>
  <si>
    <t xml:space="preserve">Project Delivery (including programme)</t>
  </si>
  <si>
    <t xml:space="preserve">N/A</t>
  </si>
  <si>
    <t xml:space="preserve">Resource for this skill is not relevant for the project in question</t>
  </si>
  <si>
    <t xml:space="preserve">Change Implementation</t>
  </si>
  <si>
    <t xml:space="preserve">Technical</t>
  </si>
  <si>
    <t xml:space="preserve">Industry Knowledge</t>
  </si>
  <si>
    <t xml:space="preserve">Finance</t>
  </si>
  <si>
    <t xml:space="preserve">Analysis</t>
  </si>
  <si>
    <t xml:space="preserve">Communications, &amp; Stakeholder Management</t>
  </si>
  <si>
    <t xml:space="preserve">Other (please specify)</t>
  </si>
  <si>
    <t xml:space="preserve">The capability totals should add up to above resource table</t>
  </si>
  <si>
    <t xml:space="preserve">Overall Assessment</t>
  </si>
  <si>
    <t xml:space="preserve">Part 5 - Approvals and Milestones</t>
  </si>
  <si>
    <t xml:space="preserve">Approvals and Milestones</t>
  </si>
  <si>
    <t xml:space="preserve">Last time at BICC</t>
  </si>
  <si>
    <t xml:space="preserve">Next at BICC</t>
  </si>
  <si>
    <t xml:space="preserve">Project Lifecycle Stage</t>
  </si>
  <si>
    <t xml:space="preserve">If other 'stage' please describe</t>
  </si>
  <si>
    <t xml:space="preserve">Milestones (blue are mandatory)</t>
  </si>
  <si>
    <t xml:space="preserve">Milestone date - from latest approved business case</t>
  </si>
  <si>
    <t xml:space="preserve">Latest Approved Baseline Date</t>
  </si>
  <si>
    <t xml:space="preserve">Actual / Forecast Date</t>
  </si>
  <si>
    <t xml:space="preserve">Type of milestone</t>
  </si>
  <si>
    <t xml:space="preserve">Reason for movement / note</t>
  </si>
  <si>
    <t xml:space="preserve">Approvals</t>
  </si>
  <si>
    <t xml:space="preserve">SOBC - BICC Approval</t>
  </si>
  <si>
    <t xml:space="preserve">Governance/
approval</t>
  </si>
  <si>
    <t xml:space="preserve">SOBC - HMT Approval</t>
  </si>
  <si>
    <t xml:space="preserve">OBC - BICC Approval</t>
  </si>
  <si>
    <t xml:space="preserve">OBC - HMT Approval</t>
  </si>
  <si>
    <t xml:space="preserve">Planning Consents</t>
  </si>
  <si>
    <t xml:space="preserve">Pre-PIN Approval</t>
  </si>
  <si>
    <t xml:space="preserve">Pre-OJEU Approval</t>
  </si>
  <si>
    <t xml:space="preserve">Shortlisting BICC Approval</t>
  </si>
  <si>
    <t xml:space="preserve">Selection BICC Approval</t>
  </si>
  <si>
    <t xml:space="preserve">FBC - BICC Approval</t>
  </si>
  <si>
    <t xml:space="preserve">FBC - HMT Approval</t>
  </si>
  <si>
    <t xml:space="preserve">1 - other approval point</t>
  </si>
  <si>
    <t xml:space="preserve">Governance/
approval (other)</t>
  </si>
  <si>
    <t xml:space="preserve">2 - other approval point</t>
  </si>
  <si>
    <t xml:space="preserve">3 - other approval point</t>
  </si>
  <si>
    <t xml:space="preserve">4 - other approval point</t>
  </si>
  <si>
    <t xml:space="preserve">5 - other approval point</t>
  </si>
  <si>
    <t xml:space="preserve">Project Milestones</t>
  </si>
  <si>
    <t xml:space="preserve">Start of Project</t>
  </si>
  <si>
    <t xml:space="preserve">Project start date</t>
  </si>
  <si>
    <t xml:space="preserve">Start on Construction/build</t>
  </si>
  <si>
    <t xml:space="preserve">Start of construction </t>
  </si>
  <si>
    <t xml:space="preserve">Start of Operation</t>
  </si>
  <si>
    <t xml:space="preserve">Start of operation </t>
  </si>
  <si>
    <t xml:space="preserve">Project End Date</t>
  </si>
  <si>
    <t xml:space="preserve">Project end date</t>
  </si>
  <si>
    <t xml:space="preserve">Business Case End Date</t>
  </si>
  <si>
    <t xml:space="preserve">Business case end date</t>
  </si>
  <si>
    <t xml:space="preserve">1 - other key milestone</t>
  </si>
  <si>
    <t xml:space="preserve">2 - other key milestone</t>
  </si>
  <si>
    <t xml:space="preserve">3 - other key milestone</t>
  </si>
  <si>
    <t xml:space="preserve">4 - other key milestone</t>
  </si>
  <si>
    <t xml:space="preserve">5 - other key milestone</t>
  </si>
  <si>
    <t xml:space="preserve">6 - other key milestone</t>
  </si>
  <si>
    <t xml:space="preserve">7 - other key milestone</t>
  </si>
  <si>
    <t xml:space="preserve">8 - other key milestone</t>
  </si>
  <si>
    <t xml:space="preserve">9 - other key milestone</t>
  </si>
  <si>
    <t xml:space="preserve">10 - other key milestone</t>
  </si>
  <si>
    <t xml:space="preserve">Commentary / Notes (500 words)</t>
  </si>
  <si>
    <t xml:space="preserve">Part 5 - Assurance Planning</t>
  </si>
  <si>
    <t xml:space="preserve">Assurance </t>
  </si>
  <si>
    <t xml:space="preserve">Integrated Assurance and Approvals Plan (IAAP)</t>
  </si>
  <si>
    <t xml:space="preserve">Date Created</t>
  </si>
  <si>
    <t xml:space="preserve">Version Number</t>
  </si>
  <si>
    <t xml:space="preserve">Date Revised</t>
  </si>
  <si>
    <r>
      <rPr>
        <b val="true"/>
        <sz val="11"/>
        <color rgb="FFFFFFFF"/>
        <rFont val="Arial"/>
        <family val="2"/>
        <charset val="1"/>
      </rPr>
      <t xml:space="preserve">Milestones (</t>
    </r>
    <r>
      <rPr>
        <b val="true"/>
        <sz val="11"/>
        <color rgb="FF2F5597"/>
        <rFont val="Arial"/>
        <family val="2"/>
        <charset val="1"/>
      </rPr>
      <t xml:space="preserve">blue </t>
    </r>
    <r>
      <rPr>
        <b val="true"/>
        <sz val="11"/>
        <color rgb="FFFFFFFF"/>
        <rFont val="Arial"/>
        <family val="2"/>
        <charset val="1"/>
      </rPr>
      <t xml:space="preserve">is mandatory)</t>
    </r>
  </si>
  <si>
    <t xml:space="preserve">Milestone date - as per latest IAAP</t>
  </si>
  <si>
    <t xml:space="preserve">Review Team Delivery Confidence Assessment (RAG</t>
  </si>
  <si>
    <t xml:space="preserve">Project Validation Review (PVR) (Project Initiation)</t>
  </si>
  <si>
    <t xml:space="preserve">Gate 0 (Programme)</t>
  </si>
  <si>
    <t xml:space="preserve">Gate1 or PAR (SOBC)</t>
  </si>
  <si>
    <t xml:space="preserve">Gate 2 or PAR (OBC)</t>
  </si>
  <si>
    <t xml:space="preserve">Gate 3 or PAR (FBC)</t>
  </si>
  <si>
    <t xml:space="preserve">Gate 4 or PAR (Readiness for Service)</t>
  </si>
  <si>
    <t xml:space="preserve">Gate 5 or PAR (Project Closure &amp; Lessons Learned)</t>
  </si>
  <si>
    <t xml:space="preserve">IPA Gate Exit</t>
  </si>
  <si>
    <t xml:space="preserve">1 (Repeat assurance point, Assurance Action Plan (AAP), NAO, PAC, SGAR etc.)</t>
  </si>
  <si>
    <t xml:space="preserve">2 (Repeat assurance point, Assurance Action Plan (AAP), NAO, PAC, SGAR etc.)</t>
  </si>
  <si>
    <t xml:space="preserve">3 (Repeat assurance point, Assurance Action Plan (AAP), NAO, PAC, SGAR etc.)</t>
  </si>
  <si>
    <t xml:space="preserve">4 (Repeat assurance point, Assurance Action Plan (AAP), NAO, PAC, SGAR etc.)</t>
  </si>
  <si>
    <t xml:space="preserve">5 (Repeat assurance point, Assurance Action Plan (AAP), NAO, PAC, SGAR etc.)</t>
  </si>
  <si>
    <t xml:space="preserve">6 (Repeat assurance point, Assurance Action Plan (AAP), NAO, PAC, SGAR etc.)</t>
  </si>
  <si>
    <t xml:space="preserve">7 (Repeat assurance point, Assurance Action Plan (AAP), NAO, PAC, SGAR etc.)</t>
  </si>
  <si>
    <t xml:space="preserve">8 (Repeat assurance point, Assurance Action Plan (AAP), NAO, PAC, SGAR etc.)</t>
  </si>
  <si>
    <t xml:space="preserve">9 (Repeat assurance point, Assurance Action Plan (AAP), NAO, PAC, SGAR etc.)</t>
  </si>
  <si>
    <t xml:space="preserve">10 (Repeat assurance point, Assurance Action Plan (AAP), NAO, PAC, SGAR etc.)</t>
  </si>
  <si>
    <t xml:space="preserve">IAAP SRO assessment of assurance activities</t>
  </si>
  <si>
    <t xml:space="preserve">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</si>
  <si>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 xml:space="preserve">Assurance / Approvals</t>
  </si>
  <si>
    <t xml:space="preserve">SRO Confidence / Quality RAG Rating - Assurance Activities </t>
  </si>
  <si>
    <t xml:space="preserve">Internal</t>
  </si>
  <si>
    <t xml:space="preserve">External</t>
  </si>
  <si>
    <t xml:space="preserve">This section is fro the SRO to make an assessment of the coverage of the assurance and approvals activities that is planned over the next two years or to the end of the programme / project whichever is sooner.</t>
  </si>
  <si>
    <t xml:space="preserve">Quarter</t>
  </si>
  <si>
    <t xml:space="preserve">Joining Qtr</t>
  </si>
  <si>
    <t xml:space="preserve">Classification</t>
  </si>
  <si>
    <t xml:space="preserve">Entity format</t>
  </si>
  <si>
    <t xml:space="preserve">Methodology</t>
  </si>
  <si>
    <t xml:space="preserve">Category</t>
  </si>
  <si>
    <t xml:space="preserve">Scope Changed</t>
  </si>
  <si>
    <t xml:space="preserve">Monetised / Non Monetised Benefits</t>
  </si>
  <si>
    <t xml:space="preserve">RAG</t>
  </si>
  <si>
    <t xml:space="preserve">RAG 2</t>
  </si>
  <si>
    <t xml:space="preserve">RPA level</t>
  </si>
  <si>
    <t xml:space="preserve">Capability RAG</t>
  </si>
  <si>
    <t xml:space="preserve">MPLA / PLP</t>
  </si>
  <si>
    <t xml:space="preserve">PL Changes</t>
  </si>
  <si>
    <t xml:space="preserve">Stage</t>
  </si>
  <si>
    <t xml:space="preserve">Business Cases</t>
  </si>
  <si>
    <t xml:space="preserve">Milestone Types</t>
  </si>
  <si>
    <t xml:space="preserve">Finance figures format</t>
  </si>
  <si>
    <t xml:space="preserve">Index Years</t>
  </si>
  <si>
    <t xml:space="preserve">Discount Rate</t>
  </si>
  <si>
    <t xml:space="preserve">Finance type</t>
  </si>
  <si>
    <t xml:space="preserve">Years (Spend)</t>
  </si>
  <si>
    <t xml:space="preserve">Years (Benefits)</t>
  </si>
  <si>
    <t xml:space="preserve">Snapshot Dates</t>
  </si>
  <si>
    <t xml:space="preserve">Percentage of time spent on SRO role</t>
  </si>
  <si>
    <t xml:space="preserve">AR Category</t>
  </si>
  <si>
    <t xml:space="preserve">Project Lifecycle</t>
  </si>
  <si>
    <t xml:space="preserve">Programme Lifecycle</t>
  </si>
  <si>
    <t xml:space="preserve">Other</t>
  </si>
  <si>
    <t xml:space="preserve">Start / Year end - FY</t>
  </si>
  <si>
    <t xml:space="preserve">Count</t>
  </si>
  <si>
    <t xml:space="preserve">VFM</t>
  </si>
  <si>
    <t xml:space="preserve">Agency</t>
  </si>
  <si>
    <t xml:space="preserve">High Speed Rail Group</t>
  </si>
  <si>
    <t xml:space="preserve">Rail Group</t>
  </si>
  <si>
    <t xml:space="preserve">Roads, Devolution &amp; Motoring</t>
  </si>
  <si>
    <t xml:space="preserve">International, Security and Environment</t>
  </si>
  <si>
    <t xml:space="preserve">Resource and Strategy</t>
  </si>
  <si>
    <t xml:space="preserve">Non-Group</t>
  </si>
  <si>
    <t xml:space="preserve">GMPP Annual Report Category </t>
  </si>
  <si>
    <t xml:space="preserve">SDP</t>
  </si>
  <si>
    <t xml:space="preserve">Q1 1516</t>
  </si>
  <si>
    <t xml:space="preserve">Q1 1112</t>
  </si>
  <si>
    <t xml:space="preserve">Official</t>
  </si>
  <si>
    <r>
      <rPr>
        <sz val="11"/>
        <color rgb="FF000000"/>
        <rFont val="Arial"/>
        <family val="2"/>
        <charset val="1"/>
      </rPr>
      <t xml:space="preserve">Asset </t>
    </r>
    <r>
      <rPr>
        <sz val="11"/>
        <color rgb="FF000000"/>
        <rFont val="Calibri"/>
        <family val="2"/>
        <charset val="1"/>
      </rPr>
      <t xml:space="preserve">Realisation</t>
    </r>
  </si>
  <si>
    <t xml:space="preserve">No</t>
  </si>
  <si>
    <t xml:space="preserve">Monetised Benefit</t>
  </si>
  <si>
    <t xml:space="preserve">High</t>
  </si>
  <si>
    <t xml:space="preserve">Not Eligible - Master Builder</t>
  </si>
  <si>
    <t xml:space="preserve">Career break</t>
  </si>
  <si>
    <t xml:space="preserve">Concept</t>
  </si>
  <si>
    <t xml:space="preserve">Strategic Outline Case</t>
  </si>
  <si>
    <t xml:space="preserve">Real</t>
  </si>
  <si>
    <t xml:space="preserve">Levy Control</t>
  </si>
  <si>
    <t xml:space="preserve">Yes</t>
  </si>
  <si>
    <t xml:space="preserve">No Spend</t>
  </si>
  <si>
    <t xml:space="preserve">No Monetised Benefits</t>
  </si>
  <si>
    <t xml:space="preserve">Government Transformation and Service Delivery</t>
  </si>
  <si>
    <t xml:space="preserve">Identification phase</t>
  </si>
  <si>
    <t xml:space="preserve">Very Poor</t>
  </si>
  <si>
    <t xml:space="preserve">HS2 Phase 1</t>
  </si>
  <si>
    <t xml:space="preserve">DfTc</t>
  </si>
  <si>
    <t xml:space="preserve">Major Projects</t>
  </si>
  <si>
    <t xml:space="preserve">Northern Transport Strategy</t>
  </si>
  <si>
    <t xml:space="preserve">Airports Capacity Delivery</t>
  </si>
  <si>
    <t xml:space="preserve">Group Commercial Services</t>
  </si>
  <si>
    <t xml:space="preserve">Boosting Economic Growth and Opportunity </t>
  </si>
  <si>
    <t xml:space="preserve">Q2 1516</t>
  </si>
  <si>
    <t xml:space="preserve">Q2 1112</t>
  </si>
  <si>
    <t xml:space="preserve">Official - Sensitive</t>
  </si>
  <si>
    <t xml:space="preserve">Programme</t>
  </si>
  <si>
    <t xml:space="preserve">Agile</t>
  </si>
  <si>
    <t xml:space="preserve">Increase</t>
  </si>
  <si>
    <t xml:space="preserve">Non-Monetised Benefit</t>
  </si>
  <si>
    <t xml:space="preserve">Amber/Green</t>
  </si>
  <si>
    <t xml:space="preserve">Medium</t>
  </si>
  <si>
    <t xml:space="preserve">Not Eligible - Contractor</t>
  </si>
  <si>
    <t xml:space="preserve">Consolidation of projects, resulting in one SRO / PD</t>
  </si>
  <si>
    <t xml:space="preserve">Feasibility</t>
  </si>
  <si>
    <t xml:space="preserve">Outline Business Case</t>
  </si>
  <si>
    <t xml:space="preserve">Procurement</t>
  </si>
  <si>
    <t xml:space="preserve">PFI</t>
  </si>
  <si>
    <t xml:space="preserve">SOBC Costs being calculated</t>
  </si>
  <si>
    <t xml:space="preserve">SOBC Monetised Benefits being calculated</t>
  </si>
  <si>
    <t xml:space="preserve">ICT</t>
  </si>
  <si>
    <t xml:space="preserve">Definition phase</t>
  </si>
  <si>
    <t xml:space="preserve">Poor</t>
  </si>
  <si>
    <t xml:space="preserve">HS2 Phase 2</t>
  </si>
  <si>
    <t xml:space="preserve">Driver and Vehicle Licensing Agency (DVLA)</t>
  </si>
  <si>
    <t xml:space="preserve">Passenger Service</t>
  </si>
  <si>
    <t xml:space="preserve">Strategic Roads</t>
  </si>
  <si>
    <t xml:space="preserve">Maritime</t>
  </si>
  <si>
    <t xml:space="preserve">Building a One Nation Britain </t>
  </si>
  <si>
    <t xml:space="preserve">Q3 1516</t>
  </si>
  <si>
    <t xml:space="preserve">Q3 1112</t>
  </si>
  <si>
    <t xml:space="preserve">Official - Commercial</t>
  </si>
  <si>
    <t xml:space="preserve">Hybrid</t>
  </si>
  <si>
    <t xml:space="preserve">Decommissioning</t>
  </si>
  <si>
    <t xml:space="preserve">Decrease</t>
  </si>
  <si>
    <t xml:space="preserve">Low</t>
  </si>
  <si>
    <t xml:space="preserve">Not Eligible - Interim Appointment</t>
  </si>
  <si>
    <t xml:space="preserve">Consolidation of SROs / PDs, resulting in one SRO / PD</t>
  </si>
  <si>
    <t xml:space="preserve">Appraise &amp; Select</t>
  </si>
  <si>
    <t xml:space="preserve">Full Business Case</t>
  </si>
  <si>
    <t xml:space="preserve">Other </t>
  </si>
  <si>
    <t xml:space="preserve">Public</t>
  </si>
  <si>
    <t xml:space="preserve">-</t>
  </si>
  <si>
    <t xml:space="preserve">Pre 2015/2016</t>
  </si>
  <si>
    <t xml:space="preserve">Infrastructure and Construction</t>
  </si>
  <si>
    <t xml:space="preserve">Delivery phase</t>
  </si>
  <si>
    <t xml:space="preserve">Rolling Stock &amp; depot</t>
  </si>
  <si>
    <t xml:space="preserve">Highways England</t>
  </si>
  <si>
    <t xml:space="preserve">Network Services</t>
  </si>
  <si>
    <t xml:space="preserve">Motor, Freight &amp; London</t>
  </si>
  <si>
    <t xml:space="preserve">Energy, Technology &amp; Innovation</t>
  </si>
  <si>
    <t xml:space="preserve">Improving Journeys</t>
  </si>
  <si>
    <t xml:space="preserve">Q4 1516</t>
  </si>
  <si>
    <t xml:space="preserve">Q4 1112</t>
  </si>
  <si>
    <t xml:space="preserve">Hybrid - Programme (between projects)</t>
  </si>
  <si>
    <t xml:space="preserve">Government Operations Reform (Transformation)</t>
  </si>
  <si>
    <t xml:space="preserve">Amber/Red</t>
  </si>
  <si>
    <t xml:space="preserve">Not Eligible - Leaving role</t>
  </si>
  <si>
    <t xml:space="preserve">Departmental (or equivalent) Organisational change</t>
  </si>
  <si>
    <t xml:space="preserve">Define and refine plan</t>
  </si>
  <si>
    <t xml:space="preserve">Initial Gate Business Case (IGBC)</t>
  </si>
  <si>
    <t xml:space="preserve">Private</t>
  </si>
  <si>
    <t xml:space="preserve">Military Capability</t>
  </si>
  <si>
    <t xml:space="preserve">Closure phase</t>
  </si>
  <si>
    <t xml:space="preserve">Maritime and Coastguard Agency (MCA)</t>
  </si>
  <si>
    <t xml:space="preserve">Local Authority</t>
  </si>
  <si>
    <t xml:space="preserve">A Safe, Secure and Sustainable transport system</t>
  </si>
  <si>
    <t xml:space="preserve">Q1 1617</t>
  </si>
  <si>
    <t xml:space="preserve">Q1 1213</t>
  </si>
  <si>
    <t xml:space="preserve">Hybrid - Programme (within Projects)</t>
  </si>
  <si>
    <t xml:space="preserve">ICT Development and Refresh</t>
  </si>
  <si>
    <t xml:space="preserve">Not Eligible - Project Leaving GMPP</t>
  </si>
  <si>
    <t xml:space="preserve">Directorate (or equivalent) Organisational change</t>
  </si>
  <si>
    <t xml:space="preserve">Execute</t>
  </si>
  <si>
    <t xml:space="preserve">Main Gate Business Case (MGBC)</t>
  </si>
  <si>
    <t xml:space="preserve">Execute (Delivery)</t>
  </si>
  <si>
    <t xml:space="preserve">Benefits Realisation phase</t>
  </si>
  <si>
    <t xml:space="preserve">Driver and Vehicle Standards Agency (DVSA)</t>
  </si>
  <si>
    <t xml:space="preserve">Q2 1617</t>
  </si>
  <si>
    <t xml:space="preserve">Q2 1213</t>
  </si>
  <si>
    <t xml:space="preserve">Hybrid - programme (between and within projects)</t>
  </si>
  <si>
    <t xml:space="preserve">Infrastructure</t>
  </si>
  <si>
    <t xml:space="preserve">Reset</t>
  </si>
  <si>
    <t xml:space="preserve">Not Eligible - Agreed with IPA</t>
  </si>
  <si>
    <t xml:space="preserve">End of loan / secondment from Other Government dept</t>
  </si>
  <si>
    <t xml:space="preserve">Operate</t>
  </si>
  <si>
    <t xml:space="preserve">PBC (or equivalent)</t>
  </si>
  <si>
    <t xml:space="preserve">Very High</t>
  </si>
  <si>
    <t xml:space="preserve">Non-Group </t>
  </si>
  <si>
    <t xml:space="preserve">HS2 Ltd</t>
  </si>
  <si>
    <t xml:space="preserve">Q3 1617</t>
  </si>
  <si>
    <t xml:space="preserve">Q3 1213</t>
  </si>
  <si>
    <t xml:space="preserve">Eligible - awaiting cohort</t>
  </si>
  <si>
    <t xml:space="preserve">End of loan / secondment from Other Non-Government organisation</t>
  </si>
  <si>
    <t xml:space="preserve">Embed in BAU. Review and lessons Learnt</t>
  </si>
  <si>
    <t xml:space="preserve">On Hold</t>
  </si>
  <si>
    <t xml:space="preserve">Economically Efficient / Cost Saving</t>
  </si>
  <si>
    <t xml:space="preserve">Network Rail</t>
  </si>
  <si>
    <t xml:space="preserve">Q4 1617</t>
  </si>
  <si>
    <t xml:space="preserve">Q4 1213</t>
  </si>
  <si>
    <t xml:space="preserve">Cohort 0</t>
  </si>
  <si>
    <t xml:space="preserve">End of SRO letter stated tenure</t>
  </si>
  <si>
    <t xml:space="preserve">Completion Benefits realisation (steady state)</t>
  </si>
  <si>
    <t xml:space="preserve">No Business Case</t>
  </si>
  <si>
    <t xml:space="preserve">Financially Positive</t>
  </si>
  <si>
    <t xml:space="preserve">TfL</t>
  </si>
  <si>
    <t xml:space="preserve">Q1 1718</t>
  </si>
  <si>
    <t xml:space="preserve">Q1 1314</t>
  </si>
  <si>
    <t xml:space="preserve">Public Service Delivery Reform (Transformation)</t>
  </si>
  <si>
    <t xml:space="preserve">Cohort 1</t>
  </si>
  <si>
    <t xml:space="preserve">End of temporary promotion</t>
  </si>
  <si>
    <t xml:space="preserve">No Business Case required</t>
  </si>
  <si>
    <t xml:space="preserve">No Category</t>
  </si>
  <si>
    <t xml:space="preserve">Q2 1718</t>
  </si>
  <si>
    <t xml:space="preserve">Q2 1314</t>
  </si>
  <si>
    <t xml:space="preserve">Cohort 2</t>
  </si>
  <si>
    <t xml:space="preserve">Internal governance restructure</t>
  </si>
  <si>
    <t xml:space="preserve">SOBC being developed</t>
  </si>
  <si>
    <t xml:space="preserve">Q3 1718</t>
  </si>
  <si>
    <t xml:space="preserve">Q3 1314</t>
  </si>
  <si>
    <t xml:space="preserve">Cohort 3</t>
  </si>
  <si>
    <t xml:space="preserve">Left due to not being an MPLA graduate</t>
  </si>
  <si>
    <t xml:space="preserve">Q4 1718</t>
  </si>
  <si>
    <t xml:space="preserve">Q4 1314</t>
  </si>
  <si>
    <t xml:space="preserve">Cohort 4</t>
  </si>
  <si>
    <t xml:space="preserve">Left due to not being an PLP graduate</t>
  </si>
  <si>
    <t xml:space="preserve">Q1 1819</t>
  </si>
  <si>
    <t xml:space="preserve">Q1 1415</t>
  </si>
  <si>
    <t xml:space="preserve">Cohort 5</t>
  </si>
  <si>
    <t xml:space="preserve">Left for new role in current department</t>
  </si>
  <si>
    <t xml:space="preserve">Q2 1819</t>
  </si>
  <si>
    <t xml:space="preserve">Q2 1415</t>
  </si>
  <si>
    <t xml:space="preserve">Cohort 6</t>
  </si>
  <si>
    <t xml:space="preserve">Left for new role in government</t>
  </si>
  <si>
    <t xml:space="preserve">Q3 1819</t>
  </si>
  <si>
    <t xml:space="preserve">Q3 1415</t>
  </si>
  <si>
    <t xml:space="preserve">Cohort 7</t>
  </si>
  <si>
    <t xml:space="preserve">Left for new role in private sector</t>
  </si>
  <si>
    <t xml:space="preserve">Define</t>
  </si>
  <si>
    <t xml:space="preserve">Q4 1819</t>
  </si>
  <si>
    <t xml:space="preserve">Q4 1415</t>
  </si>
  <si>
    <t xml:space="preserve">Cohort 8</t>
  </si>
  <si>
    <t xml:space="preserve">Left for new role on promotion in current department</t>
  </si>
  <si>
    <t xml:space="preserve">Categorise</t>
  </si>
  <si>
    <t xml:space="preserve">Cohort 9</t>
  </si>
  <si>
    <t xml:space="preserve">Left for new role on promotion in government</t>
  </si>
  <si>
    <t xml:space="preserve">2028/2029</t>
  </si>
  <si>
    <t xml:space="preserve">Prioritise</t>
  </si>
  <si>
    <t xml:space="preserve">Cohort 10</t>
  </si>
  <si>
    <t xml:space="preserve">Life Cycle based change</t>
  </si>
  <si>
    <t xml:space="preserve">2029/2030</t>
  </si>
  <si>
    <t xml:space="preserve">Balance</t>
  </si>
  <si>
    <t xml:space="preserve">Cohort 11</t>
  </si>
  <si>
    <t xml:space="preserve">Maternity Leave</t>
  </si>
  <si>
    <t xml:space="preserve">2030/2031</t>
  </si>
  <si>
    <t xml:space="preserve">Cohort 12</t>
  </si>
  <si>
    <t xml:space="preserve">Paternity Leave</t>
  </si>
  <si>
    <t xml:space="preserve">2031/2032</t>
  </si>
  <si>
    <t xml:space="preserve">Cohort 13</t>
  </si>
  <si>
    <t xml:space="preserve">Post Rotation</t>
  </si>
  <si>
    <t xml:space="preserve">2032/2033</t>
  </si>
  <si>
    <t xml:space="preserve">Cohort 14</t>
  </si>
  <si>
    <t xml:space="preserve">Project transferred to other government entity</t>
  </si>
  <si>
    <t xml:space="preserve">2033/2034</t>
  </si>
  <si>
    <t xml:space="preserve">Cohort 15</t>
  </si>
  <si>
    <t xml:space="preserve">Retirement</t>
  </si>
  <si>
    <t xml:space="preserve">2034/2035</t>
  </si>
  <si>
    <t xml:space="preserve">Cohort 16</t>
  </si>
  <si>
    <t xml:space="preserve">Review recommended departure</t>
  </si>
  <si>
    <t xml:space="preserve">2035/2036</t>
  </si>
  <si>
    <t xml:space="preserve">Cohort 17</t>
  </si>
  <si>
    <t xml:space="preserve">Secondment outside Civil Service</t>
  </si>
  <si>
    <t xml:space="preserve">2036/2037</t>
  </si>
  <si>
    <t xml:space="preserve">Cohort 18</t>
  </si>
  <si>
    <t xml:space="preserve">Secondment within Civil Service</t>
  </si>
  <si>
    <t xml:space="preserve">2037/2038</t>
  </si>
  <si>
    <t xml:space="preserve">Cohort 19</t>
  </si>
  <si>
    <t xml:space="preserve">Temporary / Interim Assignment only</t>
  </si>
  <si>
    <t xml:space="preserve">2038/2039</t>
  </si>
  <si>
    <t xml:space="preserve">Cohort 20</t>
  </si>
  <si>
    <t xml:space="preserve">2039/2040</t>
  </si>
  <si>
    <t xml:space="preserve">2040/2041</t>
  </si>
  <si>
    <t xml:space="preserve">2041/2042</t>
  </si>
  <si>
    <t xml:space="preserve">2042/2043</t>
  </si>
  <si>
    <t xml:space="preserve">2043/2044</t>
  </si>
  <si>
    <t xml:space="preserve">2044/2045</t>
  </si>
  <si>
    <t xml:space="preserve">2045/2046</t>
  </si>
  <si>
    <t xml:space="preserve">2046/2047</t>
  </si>
  <si>
    <t xml:space="preserve">2047/2048</t>
  </si>
  <si>
    <t xml:space="preserve">2048/2049</t>
  </si>
  <si>
    <t xml:space="preserve">2049/2050</t>
  </si>
  <si>
    <t xml:space="preserve">2050/2051</t>
  </si>
  <si>
    <t xml:space="preserve">2051/2052</t>
  </si>
  <si>
    <t xml:space="preserve">2052/2053</t>
  </si>
  <si>
    <t xml:space="preserve">2053/2054</t>
  </si>
  <si>
    <t xml:space="preserve">2054/2055</t>
  </si>
  <si>
    <t xml:space="preserve">2055/2056</t>
  </si>
  <si>
    <t xml:space="preserve">2056/2057</t>
  </si>
  <si>
    <t xml:space="preserve">2057/2058</t>
  </si>
  <si>
    <t xml:space="preserve">2058/2059</t>
  </si>
  <si>
    <t xml:space="preserve">2059/2060</t>
  </si>
  <si>
    <t xml:space="preserve">2060/2061</t>
  </si>
  <si>
    <t xml:space="preserve">2061/2062</t>
  </si>
  <si>
    <t xml:space="preserve">2062/2063</t>
  </si>
  <si>
    <t xml:space="preserve">2063/2064</t>
  </si>
  <si>
    <t xml:space="preserve">2064/2065</t>
  </si>
  <si>
    <t xml:space="preserve">2065/2066</t>
  </si>
  <si>
    <t xml:space="preserve">2066/2067</t>
  </si>
  <si>
    <t xml:space="preserve">2067/2068</t>
  </si>
  <si>
    <t xml:space="preserve">2068/2069</t>
  </si>
  <si>
    <t xml:space="preserve">2069/2070</t>
  </si>
  <si>
    <t xml:space="preserve">2070/2071</t>
  </si>
  <si>
    <t xml:space="preserve">2071/2072</t>
  </si>
  <si>
    <t xml:space="preserve">2072/2073</t>
  </si>
  <si>
    <t xml:space="preserve">2073/2074</t>
  </si>
  <si>
    <t xml:space="preserve">2074/2075</t>
  </si>
  <si>
    <t xml:space="preserve">2075/2076</t>
  </si>
  <si>
    <t xml:space="preserve">2076/2077</t>
  </si>
  <si>
    <t xml:space="preserve">2077/2078</t>
  </si>
  <si>
    <t xml:space="preserve">2078/2079</t>
  </si>
  <si>
    <t xml:space="preserve">2079/2080</t>
  </si>
  <si>
    <t xml:space="preserve">2080/2081</t>
  </si>
  <si>
    <t xml:space="preserve">2081/2082</t>
  </si>
  <si>
    <t xml:space="preserve">2082/2083</t>
  </si>
  <si>
    <t xml:space="preserve">2083/2084</t>
  </si>
  <si>
    <t xml:space="preserve">2084/2085</t>
  </si>
  <si>
    <t xml:space="preserve">2085/2086</t>
  </si>
  <si>
    <t xml:space="preserve">2086/2087</t>
  </si>
  <si>
    <t xml:space="preserve">2087/2088</t>
  </si>
  <si>
    <t xml:space="preserve">2088/2089</t>
  </si>
  <si>
    <t xml:space="preserve">2089/2090</t>
  </si>
  <si>
    <t xml:space="preserve">2090/2091</t>
  </si>
  <si>
    <t xml:space="preserve">2091/2092</t>
  </si>
  <si>
    <t xml:space="preserve">2092/2093</t>
  </si>
  <si>
    <t xml:space="preserve">2093/2094</t>
  </si>
  <si>
    <t xml:space="preserve">2094/2095</t>
  </si>
  <si>
    <t xml:space="preserve">2095/2096</t>
  </si>
  <si>
    <t xml:space="preserve">2096/2097</t>
  </si>
  <si>
    <t xml:space="preserve">2097/2098</t>
  </si>
  <si>
    <t xml:space="preserve">2098/2099</t>
  </si>
  <si>
    <t xml:space="preserve">2099/2100</t>
  </si>
  <si>
    <t xml:space="preserve">Post 2100</t>
  </si>
  <si>
    <t xml:space="preserve">IPA ID Number</t>
  </si>
  <si>
    <t xml:space="preserve">IPA ID Number 2</t>
  </si>
  <si>
    <t xml:space="preserve">Dept</t>
  </si>
  <si>
    <t xml:space="preserve">Main Reason for Joining GMPP</t>
  </si>
  <si>
    <t xml:space="preserve">IPA DCA </t>
  </si>
  <si>
    <t xml:space="preserve">IPA DCA Commentary</t>
  </si>
  <si>
    <t xml:space="preserve">SRO ID</t>
  </si>
  <si>
    <t xml:space="preserve">PD ID</t>
  </si>
  <si>
    <t xml:space="preserve">GMPP Annual Report Category</t>
  </si>
  <si>
    <t xml:space="preserve">Not currently being used</t>
  </si>
  <si>
    <t xml:space="preserve">this data is from the GMPP that is IPA specific</t>
  </si>
  <si>
    <t xml:space="preserve">version</t>
  </si>
  <si>
    <t xml:space="preserve">Editor</t>
  </si>
  <si>
    <t xml:space="preserve">Notes</t>
  </si>
  <si>
    <t xml:space="preserve">V0.1</t>
  </si>
  <si>
    <t xml:space="preserve">Michelle Jennings</t>
  </si>
  <si>
    <t xml:space="preserve">start of new template, added tabs and subsequent data fields any typos from old template in red.
New tab added design for notes on format etc</t>
  </si>
  <si>
    <t xml:space="preserve">V0.2</t>
  </si>
  <si>
    <t xml:space="preserve">added formula's and functions those in yellow need to be corrected - completed 13/04/217</t>
  </si>
  <si>
    <t xml:space="preserve">V0.3</t>
  </si>
  <si>
    <t xml:space="preserve">added dropdown lists, prep for GMPP changes see benefits section - need to check with Andy Potthurst that this is how they will be collecting the information</t>
  </si>
  <si>
    <t xml:space="preserve">V0.4</t>
  </si>
  <si>
    <t xml:space="preserve">finalised templates and updated printing options</t>
  </si>
  <si>
    <t xml:space="preserve">All cell colours where possible have been taken from the pallet or stand colour chart</t>
  </si>
  <si>
    <t xml:space="preserve">Data Title boxes</t>
  </si>
  <si>
    <t xml:space="preserve">Dark Teal
Red - 0
Green - 128
Blue - 128</t>
  </si>
  <si>
    <t xml:space="preserve">Project Response Cell</t>
  </si>
  <si>
    <t xml:space="preserve">Aqua
Red - 204
Green - 228
Blue - 150</t>
  </si>
  <si>
    <t xml:space="preserve">BICC Portfolio Office Data Title</t>
  </si>
  <si>
    <t xml:space="preserve">Blue, Accent 5, Dark 25%
Red - 48
Green - 84
Blue - 150</t>
  </si>
  <si>
    <t xml:space="preserve">BICC Portfolio Office Data </t>
  </si>
  <si>
    <t xml:space="preserve">Blue, Accent 5, Lighter 80%
Red - 217
Green - 225
Blue - 242</t>
  </si>
  <si>
    <t xml:space="preserve">New data being collected</t>
  </si>
  <si>
    <t xml:space="preserve">Gold, Accent 4
Red - 225
Green - 195
Blue - 0</t>
  </si>
  <si>
    <t xml:space="preserve">Finance budget/forecast</t>
  </si>
  <si>
    <t xml:space="preserve">Teal 
Red -135
Green - 191
Blue - 182</t>
  </si>
  <si>
    <t xml:space="preserve">CELL BOARDERS</t>
  </si>
  <si>
    <t xml:space="preserve">THICK WHITE</t>
  </si>
  <si>
    <t xml:space="preserve">FONT</t>
  </si>
  <si>
    <t xml:space="preserve">data cells</t>
  </si>
  <si>
    <t xml:space="preserve">Arial - 11</t>
  </si>
  <si>
    <t xml:space="preserve">Title</t>
  </si>
  <si>
    <t xml:space="preserve">Arial - 14</t>
  </si>
  <si>
    <t xml:space="preserve">Part /section title</t>
  </si>
  <si>
    <t xml:space="preserve">Arial - 16</t>
  </si>
  <si>
    <t xml:space="preserve">colour</t>
  </si>
  <si>
    <t xml:space="preserve">white or black</t>
  </si>
  <si>
    <t xml:space="preserve">Summary tab - text box length</t>
  </si>
  <si>
    <t xml:space="preserve">Strategic Alignment, Project Scope and short description</t>
  </si>
  <si>
    <t xml:space="preserve">less than 5001 characters (350 words)</t>
  </si>
  <si>
    <t xml:space="preserve">project scope change and SRO RAG</t>
  </si>
  <si>
    <t xml:space="preserve">less than 7001 characters (500 words)</t>
  </si>
  <si>
    <t xml:space="preserve">To Note that some formulas have been copied over but without =IF </t>
  </si>
  <si>
    <t xml:space="preserve">Summary Tab scope</t>
  </si>
  <si>
    <t xml:space="preserve">(AND(OR(G35="increase",G35="decrease"),H35=""),"Please complete as scope change","")</t>
  </si>
  <si>
    <t xml:space="preserve">Finance tab</t>
  </si>
  <si>
    <t xml:space="preserve">note that the finance breakdowns do not allow negative figures (see Data validation) expect where applicable and are set for accounting (format cell).</t>
  </si>
  <si>
    <t xml:space="preserve">Finance Tab source of Finance - BC or other document should be used not both. </t>
  </si>
  <si>
    <t xml:space="preserve">(AND(C9="",C10="",D11=""),"Please complete source of finance figures",IF(OR(C9="",C10="",D11=""),"Please add Business Case version number in cell C12",IF(OR(C9="",C10="",D11=""),"Please complete only C9 or C10, not both","")))</t>
  </si>
  <si>
    <r>
      <rPr>
        <b val="true"/>
        <sz val="12"/>
        <color rgb="FF000000"/>
        <rFont val="Arial"/>
        <family val="2"/>
        <charset val="1"/>
      </rPr>
      <t xml:space="preserve">Finance Tab Forecast project to end date </t>
    </r>
    <r>
      <rPr>
        <sz val="12"/>
        <color rgb="FF000000"/>
        <rFont val="Arial"/>
        <family val="2"/>
        <charset val="1"/>
      </rPr>
      <t xml:space="preserve">(this formula checks the project and BC end dates against WLC. In short forecast project cost to end cannot be more than WLC)</t>
    </r>
  </si>
  <si>
    <t xml:space="preserve">(OR('Approval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</si>
  <si>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 xml:space="preserve">Finance Tab Annual steady state</t>
  </si>
  <si>
    <t xml:space="preserve">(AND(OR(D44&gt;0,D45&gt;0,)),"Please complete annual steady state","")</t>
  </si>
  <si>
    <t xml:space="preserve">Milestones and Assurance Tab</t>
  </si>
  <si>
    <t xml:space="preserve">for the formula for checking the milestones dates use formula in cell 'c' adding =IF at the front and change the cell numbers</t>
  </si>
  <si>
    <t xml:space="preserve">(OR(B9="",D9=""),"Please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</si>
  <si>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</si>
  <si>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 xml:space="preserve">Delivery Structure' dropdown is dependant on summary tab 'Project Methodology' dropdown</t>
  </si>
  <si>
    <t xml:space="preserve">to create a dependent dropdown use this method - </t>
  </si>
  <si>
    <t xml:space="preserve">Dates</t>
  </si>
  <si>
    <t xml:space="preserve">to ensure that dates are only added to cells use the Data Validation and great than 01/01/1900</t>
  </si>
  <si>
    <t xml:space="preserve">Project stage</t>
  </si>
  <si>
    <t xml:space="preserve">This is an indirect dropdown</t>
  </si>
  <si>
    <t xml:space="preserve">In the dropdown list tab name the list this needs to correspond to the delivery structure list</t>
  </si>
  <si>
    <t xml:space="preserve">in summary select the dropdown in the normal way</t>
  </si>
  <si>
    <t xml:space="preserve">in the approvals &amp; project milestones select datavalidation and write =INDIRECT(Summary!G32)</t>
  </si>
  <si>
    <t xml:space="preserve">https://www.ablebits.com/office-addins-blog/2014/09/30/dependent-cascading-dropdown-lists-excel/</t>
  </si>
</sst>
</file>

<file path=xl/styles.xml><?xml version="1.0" encoding="utf-8"?>
<styleSheet xmlns="http://schemas.openxmlformats.org/spreadsheetml/2006/main">
  <numFmts count="8">
    <numFmt numFmtId="164" formatCode="General"/>
    <numFmt numFmtId="165" formatCode="DD/MM/YYYY"/>
    <numFmt numFmtId="166" formatCode="0.00%"/>
    <numFmt numFmtId="167" formatCode="YYYY"/>
    <numFmt numFmtId="168" formatCode="0.0"/>
    <numFmt numFmtId="169" formatCode="_-\£* #,##0.0_-;&quot;-£&quot;* #,##0.0_-;_-\£* \-?_-;_-@_-"/>
    <numFmt numFmtId="170" formatCode="0%"/>
    <numFmt numFmtId="171" formatCode="0.0%"/>
  </numFmts>
  <fonts count="30">
    <font>
      <sz val="12"/>
      <color rgb="FF000000"/>
      <name val="Arial"/>
      <family val="2"/>
      <charset val="1"/>
    </font>
    <font>
      <sz val="10"/>
      <name val="Arial"/>
      <family val="0"/>
    </font>
    <font>
      <sz val="10"/>
      <name val="Arial"/>
      <family val="0"/>
    </font>
    <font>
      <sz val="10"/>
      <name val="Arial"/>
      <family val="0"/>
    </font>
    <font>
      <b val="true"/>
      <sz val="14"/>
      <color rgb="FF000000"/>
      <name val="Arial"/>
      <family val="2"/>
      <charset val="1"/>
    </font>
    <font>
      <b val="true"/>
      <sz val="12"/>
      <color rgb="FF000000"/>
      <name val="Arial"/>
      <family val="2"/>
      <charset val="1"/>
    </font>
    <font>
      <sz val="11"/>
      <color rgb="FF000000"/>
      <name val="Arial"/>
      <family val="2"/>
      <charset val="1"/>
    </font>
    <font>
      <b val="true"/>
      <sz val="16"/>
      <color rgb="FF000000"/>
      <name val="Arial"/>
      <family val="2"/>
      <charset val="1"/>
    </font>
    <font>
      <b val="true"/>
      <sz val="11"/>
      <color rgb="FFFFFFFF"/>
      <name val="Arial"/>
      <family val="2"/>
      <charset val="1"/>
    </font>
    <font>
      <i val="true"/>
      <sz val="12"/>
      <color rgb="FF000000"/>
      <name val="Arial"/>
      <family val="2"/>
      <charset val="1"/>
    </font>
    <font>
      <b val="true"/>
      <sz val="12"/>
      <color rgb="FFFFFFFF"/>
      <name val="Arial"/>
      <family val="2"/>
      <charset val="1"/>
    </font>
    <font>
      <sz val="12"/>
      <color rgb="FFFF0000"/>
      <name val="Arial"/>
      <family val="2"/>
      <charset val="1"/>
    </font>
    <font>
      <b val="true"/>
      <sz val="12"/>
      <color rgb="FFFF0000"/>
      <name val="Arial"/>
      <family val="2"/>
      <charset val="1"/>
    </font>
    <font>
      <sz val="12"/>
      <name val="Arial"/>
      <family val="2"/>
      <charset val="1"/>
    </font>
    <font>
      <b val="true"/>
      <sz val="11"/>
      <color rgb="FFFF0000"/>
      <name val="Arial"/>
      <family val="2"/>
      <charset val="1"/>
    </font>
    <font>
      <sz val="12"/>
      <color rgb="FFFFFFFF"/>
      <name val="Arial"/>
      <family val="2"/>
      <charset val="1"/>
    </font>
    <font>
      <u val="single"/>
      <sz val="12"/>
      <color rgb="FF0563C1"/>
      <name val="Arial"/>
      <family val="2"/>
      <charset val="1"/>
    </font>
    <font>
      <b val="true"/>
      <sz val="12"/>
      <name val="Arial"/>
      <family val="2"/>
      <charset val="1"/>
    </font>
    <font>
      <b val="true"/>
      <sz val="11"/>
      <name val="Arial"/>
      <family val="2"/>
      <charset val="1"/>
    </font>
    <font>
      <i val="true"/>
      <sz val="11"/>
      <color rgb="FF000000"/>
      <name val="Arial"/>
      <family val="2"/>
      <charset val="1"/>
    </font>
    <font>
      <b val="true"/>
      <sz val="11"/>
      <color rgb="FF2F5597"/>
      <name val="Arial"/>
      <family val="2"/>
      <charset val="1"/>
    </font>
    <font>
      <b val="true"/>
      <sz val="11"/>
      <color rgb="FF000000"/>
      <name val="Arial"/>
      <family val="2"/>
      <charset val="1"/>
    </font>
    <font>
      <sz val="10"/>
      <color rgb="FF000000"/>
      <name val="Calibri"/>
      <family val="2"/>
      <charset val="1"/>
    </font>
    <font>
      <b val="true"/>
      <sz val="11"/>
      <color rgb="FF000000"/>
      <name val="Calibri"/>
      <family val="2"/>
      <charset val="1"/>
    </font>
    <font>
      <b val="true"/>
      <sz val="10"/>
      <color rgb="FF000000"/>
      <name val="Calibri"/>
      <family val="2"/>
      <charset val="1"/>
    </font>
    <font>
      <b val="true"/>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val="true"/>
      <sz val="11"/>
      <color rgb="FF000000"/>
      <name val="Calibri"/>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1F4E79"/>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9933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48">
    <border diagonalUp="false" diagonalDown="false">
      <left/>
      <right/>
      <top/>
      <bottom/>
      <diagonal/>
    </border>
    <border diagonalUp="false" diagonalDown="false">
      <left style="medium">
        <color rgb="FFFFFFFF"/>
      </left>
      <right style="medium">
        <color rgb="FFFFFFFF"/>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FFFFFF"/>
      </left>
      <right/>
      <top style="medium">
        <color rgb="FFFFFFFF"/>
      </top>
      <bottom style="medium">
        <color rgb="FFFFFFFF"/>
      </bottom>
      <diagonal/>
    </border>
    <border diagonalUp="false" diagonalDown="false">
      <left/>
      <right/>
      <top style="medium">
        <color rgb="FFFFFFFF"/>
      </top>
      <bottom style="medium">
        <color rgb="FFFFFFFF"/>
      </bottom>
      <diagonal/>
    </border>
    <border diagonalUp="false" diagonalDown="false">
      <left style="medium">
        <color rgb="FFFFFFFF"/>
      </left>
      <right style="medium">
        <color rgb="FFFFFFFF"/>
      </right>
      <top/>
      <bottom/>
      <diagonal/>
    </border>
    <border diagonalUp="false" diagonalDown="false">
      <left/>
      <right/>
      <top style="medium">
        <color rgb="FFFFFFFF"/>
      </top>
      <bottom/>
      <diagonal/>
    </border>
    <border diagonalUp="false" diagonalDown="false">
      <left/>
      <right style="medium">
        <color rgb="FFFFFFFF"/>
      </right>
      <top style="medium">
        <color rgb="FFFFFFFF"/>
      </top>
      <bottom/>
      <diagonal/>
    </border>
    <border diagonalUp="false" diagonalDown="false">
      <left/>
      <right style="medium">
        <color rgb="FFFFFFFF"/>
      </right>
      <top/>
      <bottom/>
      <diagonal/>
    </border>
    <border diagonalUp="false" diagonalDown="false">
      <left/>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FFFFFF"/>
      </left>
      <right style="medium">
        <color rgb="FFFFFFFF"/>
      </right>
      <top/>
      <bottom style="medium">
        <color rgb="FFFFFFFF"/>
      </bottom>
      <diagonal/>
    </border>
    <border diagonalUp="false" diagonalDown="false">
      <left style="medium">
        <color rgb="FFFFFFFF"/>
      </left>
      <right/>
      <top/>
      <bottom/>
      <diagonal/>
    </border>
    <border diagonalUp="false" diagonalDown="false">
      <left style="medium">
        <color rgb="FFFFFFFF"/>
      </left>
      <right/>
      <top style="medium">
        <color rgb="FFFFFFFF"/>
      </top>
      <bottom/>
      <diagonal/>
    </border>
    <border diagonalUp="false" diagonalDown="false">
      <left style="medium">
        <color rgb="FFFFFFFF"/>
      </left>
      <right/>
      <top/>
      <bottom style="medium">
        <color rgb="FFFFFFFF"/>
      </bottom>
      <diagonal/>
    </border>
    <border diagonalUp="false" diagonalDown="false">
      <left style="medium">
        <color rgb="FFFFFFFF"/>
      </left>
      <right style="medium">
        <color rgb="FFFFFFFF"/>
      </right>
      <top style="medium">
        <color rgb="FFFFFFFF"/>
      </top>
      <bottom/>
      <diagonal/>
    </border>
    <border diagonalUp="false" diagonalDown="false">
      <left/>
      <right style="medium">
        <color rgb="FFFFFFFF"/>
      </right>
      <top style="medium">
        <color rgb="FFFFFFFF"/>
      </top>
      <bottom style="mediumDashed">
        <color rgb="FF2F5597"/>
      </bottom>
      <diagonal/>
    </border>
    <border diagonalUp="false" diagonalDown="false">
      <left style="medium">
        <color rgb="FFFFFFFF"/>
      </left>
      <right style="medium">
        <color rgb="FFFFFFFF"/>
      </right>
      <top style="mediumDashed">
        <color rgb="FF2F5597"/>
      </top>
      <bottom style="medium">
        <color rgb="FFFFFFFF"/>
      </bottom>
      <diagonal/>
    </border>
    <border diagonalUp="false" diagonalDown="false">
      <left style="medium">
        <color rgb="FFFFFFFF"/>
      </left>
      <right style="mediumDashed">
        <color rgb="FF2F5597"/>
      </right>
      <top style="medium">
        <color rgb="FFFFFFFF"/>
      </top>
      <bottom style="medium">
        <color rgb="FFFFFFFF"/>
      </bottom>
      <diagonal/>
    </border>
    <border diagonalUp="false" diagonalDown="false">
      <left style="mediumDashed">
        <color rgb="FF2F5597"/>
      </left>
      <right style="medium">
        <color rgb="FFFFFFFF"/>
      </right>
      <top style="medium">
        <color rgb="FFFFFFFF"/>
      </top>
      <bottom/>
      <diagonal/>
    </border>
    <border diagonalUp="false" diagonalDown="false">
      <left style="mediumDashed">
        <color rgb="FF2F5597"/>
      </left>
      <right style="medium">
        <color rgb="FFFFFFFF"/>
      </right>
      <top style="medium">
        <color rgb="FFFFFFFF"/>
      </top>
      <bottom style="mediumDashed">
        <color rgb="FF2F5597"/>
      </bottom>
      <diagonal/>
    </border>
    <border diagonalUp="false" diagonalDown="false">
      <left style="mediumDashed">
        <color rgb="FF2F5597"/>
      </left>
      <right style="medium">
        <color rgb="FFFFFFFF"/>
      </right>
      <top style="mediumDashed">
        <color rgb="FF2F5597"/>
      </top>
      <bottom style="medium">
        <color rgb="FFFFFFFF"/>
      </bottom>
      <diagonal/>
    </border>
    <border diagonalUp="false" diagonalDown="false">
      <left style="medium">
        <color rgb="FFFFFFFF"/>
      </left>
      <right style="mediumDashed">
        <color rgb="FF2F5597"/>
      </right>
      <top style="mediumDashed">
        <color rgb="FF2F5597"/>
      </top>
      <bottom style="medium">
        <color rgb="FFFFFFFF"/>
      </bottom>
      <diagonal/>
    </border>
    <border diagonalUp="false" diagonalDown="false">
      <left/>
      <right style="mediumDashed">
        <color rgb="FF2F5597"/>
      </right>
      <top/>
      <bottom/>
      <diagonal/>
    </border>
    <border diagonalUp="false" diagonalDown="false">
      <left style="mediumDashed">
        <color rgb="FF2F5597"/>
      </left>
      <right style="medium">
        <color rgb="FFFFFFFF"/>
      </right>
      <top style="medium">
        <color rgb="FFFFFFFF"/>
      </top>
      <bottom style="medium">
        <color rgb="FFFFFFFF"/>
      </bottom>
      <diagonal/>
    </border>
    <border diagonalUp="false" diagonalDown="false">
      <left/>
      <right style="mediumDashed">
        <color rgb="FF2F5597"/>
      </right>
      <top style="medium">
        <color rgb="FFFFFFFF"/>
      </top>
      <bottom style="medium">
        <color rgb="FFFFFFFF"/>
      </bottom>
      <diagonal/>
    </border>
    <border diagonalUp="false" diagonalDown="false">
      <left style="medium">
        <color rgb="FFFFFFFF"/>
      </left>
      <right style="medium">
        <color rgb="FFFFFFFF"/>
      </right>
      <top style="medium">
        <color rgb="FFFFFFFF"/>
      </top>
      <bottom style="mediumDashed">
        <color rgb="FF2F5597"/>
      </bottom>
      <diagonal/>
    </border>
    <border diagonalUp="false" diagonalDown="false">
      <left/>
      <right style="mediumDashed">
        <color rgb="FF2F5597"/>
      </right>
      <top style="medium">
        <color rgb="FFFFFFFF"/>
      </top>
      <bottom style="mediumDashed">
        <color rgb="FF2F5597"/>
      </bottom>
      <diagonal/>
    </border>
    <border diagonalUp="false" diagonalDown="false">
      <left style="medium">
        <color rgb="FFFFFFFF"/>
      </left>
      <right style="mediumDashed">
        <color rgb="FF2F5597"/>
      </right>
      <top style="medium">
        <color rgb="FFFFFFFF"/>
      </top>
      <bottom style="mediumDashed">
        <color rgb="FF2F5597"/>
      </bottom>
      <diagonal/>
    </border>
    <border diagonalUp="false" diagonalDown="false">
      <left style="medium">
        <color rgb="FFFFFFFF"/>
      </left>
      <right style="medium">
        <color rgb="FFFFFFFF"/>
      </right>
      <top style="mediumDashed">
        <color rgb="FF44546A"/>
      </top>
      <bottom style="medium">
        <color rgb="FFFFFFFF"/>
      </bottom>
      <diagonal/>
    </border>
    <border diagonalUp="false" diagonalDown="false">
      <left/>
      <right style="medium">
        <color rgb="FFFFFFFF"/>
      </right>
      <top style="mediumDashed">
        <color rgb="FF44546A"/>
      </top>
      <bottom style="medium">
        <color rgb="FFFFFFFF"/>
      </bottom>
      <diagonal/>
    </border>
    <border diagonalUp="false" diagonalDown="false">
      <left style="medium">
        <color rgb="FFFFFFFF"/>
      </left>
      <right style="medium">
        <color rgb="FFFFFFFF"/>
      </right>
      <top style="mediumDashed">
        <color rgb="FF203864"/>
      </top>
      <bottom style="medium">
        <color rgb="FFFFFFFF"/>
      </bottom>
      <diagonal/>
    </border>
    <border diagonalUp="false" diagonalDown="false">
      <left style="mediumDashed">
        <color rgb="FF44546A"/>
      </left>
      <right style="medium">
        <color rgb="FFFFFFFF"/>
      </right>
      <top style="mediumDashed">
        <color rgb="FF44546A"/>
      </top>
      <bottom style="medium">
        <color rgb="FFFFFFFF"/>
      </bottom>
      <diagonal/>
    </border>
    <border diagonalUp="false" diagonalDown="false">
      <left style="medium">
        <color rgb="FFFFFFFF"/>
      </left>
      <right/>
      <top style="mediumDashed">
        <color rgb="FF44546A"/>
      </top>
      <bottom style="medium">
        <color rgb="FFFFFFFF"/>
      </bottom>
      <diagonal/>
    </border>
    <border diagonalUp="false" diagonalDown="false">
      <left style="mediumDashed">
        <color rgb="FF44546A"/>
      </left>
      <right style="medium">
        <color rgb="FFFFFFFF"/>
      </right>
      <top style="medium">
        <color rgb="FFFFFFFF"/>
      </top>
      <bottom style="medium">
        <color rgb="FFFFFFFF"/>
      </bottom>
      <diagonal/>
    </border>
    <border diagonalUp="false" diagonalDown="false">
      <left style="mediumDashed">
        <color rgb="FF44546A"/>
      </left>
      <right style="medium">
        <color rgb="FFFFFFFF"/>
      </right>
      <top style="medium">
        <color rgb="FFFFFFFF"/>
      </top>
      <bottom style="mediumDashed">
        <color rgb="FF44546A"/>
      </bottom>
      <diagonal/>
    </border>
    <border diagonalUp="false" diagonalDown="false">
      <left style="medium">
        <color rgb="FFFFFFFF"/>
      </left>
      <right style="medium">
        <color rgb="FFFFFFFF"/>
      </right>
      <top style="medium">
        <color rgb="FFFFFFFF"/>
      </top>
      <bottom style="mediumDashed">
        <color rgb="FF44546A"/>
      </bottom>
      <diagonal/>
    </border>
    <border diagonalUp="false" diagonalDown="false">
      <left style="medium">
        <color rgb="FFFFFFFF"/>
      </left>
      <right/>
      <top style="medium">
        <color rgb="FFFFFFFF"/>
      </top>
      <bottom style="mediumDashed">
        <color rgb="FF44546A"/>
      </bottom>
      <diagonal/>
    </border>
    <border diagonalUp="false" diagonalDown="false">
      <left/>
      <right style="medium">
        <color rgb="FFFFFFFF"/>
      </right>
      <top style="mediumDashed">
        <color rgb="FF1F4E79"/>
      </top>
      <bottom style="medium">
        <color rgb="FFFFFFFF"/>
      </bottom>
      <diagonal/>
    </border>
    <border diagonalUp="false" diagonalDown="false">
      <left style="medium">
        <color rgb="FFFFFFFF"/>
      </left>
      <right style="medium">
        <color rgb="FFFFFFFF"/>
      </right>
      <top style="mediumDashed">
        <color rgb="FF1F4E79"/>
      </top>
      <bottom style="medium">
        <color rgb="FFFFFFFF"/>
      </bottom>
      <diagonal/>
    </border>
    <border diagonalUp="false" diagonalDown="false">
      <left style="thin"/>
      <right style="thin"/>
      <top style="thin"/>
      <bottom style="thin"/>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color rgb="FFFF0000"/>
      </left>
      <right style="medium">
        <color rgb="FFFF0000"/>
      </right>
      <top style="medium">
        <color rgb="FFFF0000"/>
      </top>
      <bottom style="medium">
        <color rgb="FFFF0000"/>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6" fillId="0" borderId="0" applyFont="true" applyBorder="false" applyAlignment="true" applyProtection="false">
      <alignment horizontal="general" vertical="bottom" textRotation="0" wrapText="false" indent="0" shrinkToFit="false"/>
    </xf>
    <xf numFmtId="170" fontId="0" fillId="0" borderId="0" applyFont="true" applyBorder="false" applyAlignment="true" applyProtection="false">
      <alignment horizontal="general" vertical="bottom" textRotation="0" wrapText="false" indent="0" shrinkToFit="false"/>
    </xf>
  </cellStyleXfs>
  <cellXfs count="29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4" fillId="0" borderId="0" xfId="0" applyFont="true" applyBorder="true" applyAlignment="true" applyProtection="false">
      <alignment horizontal="center" vertical="center" textRotation="0" wrapText="true" indent="0" shrinkToFit="false"/>
      <protection locked="true" hidden="false"/>
    </xf>
    <xf numFmtId="164" fontId="5" fillId="2" borderId="0" xfId="0" applyFont="true" applyBorder="true" applyAlignment="true" applyProtection="false">
      <alignment horizontal="center" vertical="center" textRotation="0" wrapText="true" indent="0" shrinkToFit="false"/>
      <protection locked="true" hidden="false"/>
    </xf>
    <xf numFmtId="164" fontId="6" fillId="3" borderId="0" xfId="0" applyFont="true" applyBorder="false" applyAlignment="true" applyProtection="false">
      <alignment horizontal="general" vertical="bottom" textRotation="0" wrapText="true" indent="0" shrinkToFit="false"/>
      <protection locked="true" hidden="false"/>
    </xf>
    <xf numFmtId="164" fontId="0" fillId="3"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true" applyAlignment="true" applyProtection="false">
      <alignment horizontal="center" vertical="top" textRotation="0" wrapText="tru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8" fillId="4" borderId="1" xfId="0" applyFont="true" applyBorder="true" applyAlignment="true" applyProtection="false">
      <alignment horizontal="general" vertical="bottom" textRotation="0" wrapText="true" indent="0" shrinkToFit="false"/>
      <protection locked="true" hidden="false"/>
    </xf>
    <xf numFmtId="164" fontId="0" fillId="5" borderId="0" xfId="0" applyFont="false" applyBorder="false" applyAlignment="true" applyProtection="false">
      <alignment horizontal="center" vertical="center" textRotation="0" wrapText="true" indent="0" shrinkToFit="false"/>
      <protection locked="true" hidden="false"/>
    </xf>
    <xf numFmtId="164" fontId="0" fillId="3" borderId="0" xfId="0" applyFont="true" applyBorder="false" applyAlignment="true" applyProtection="false">
      <alignment horizontal="general" vertical="bottom" textRotation="0" wrapText="true" indent="0" shrinkToFit="false"/>
      <protection locked="true" hidden="false"/>
    </xf>
    <xf numFmtId="164" fontId="9" fillId="0" borderId="0" xfId="0" applyFont="true" applyBorder="false" applyAlignment="true" applyProtection="false">
      <alignment horizontal="general" vertical="bottom" textRotation="0" wrapText="true" indent="0" shrinkToFit="false"/>
      <protection locked="true" hidden="false"/>
    </xf>
    <xf numFmtId="164" fontId="9" fillId="3" borderId="0" xfId="0" applyFont="true" applyBorder="false" applyAlignment="true" applyProtection="false">
      <alignment horizontal="general" vertical="bottom" textRotation="0" wrapText="true" indent="0" shrinkToFit="false"/>
      <protection locked="true" hidden="false"/>
    </xf>
    <xf numFmtId="164" fontId="10" fillId="4" borderId="1" xfId="0" applyFont="true" applyBorder="true" applyAlignment="true" applyProtection="false">
      <alignment horizontal="left" vertical="center" textRotation="0" wrapText="true" indent="0" shrinkToFit="false"/>
      <protection locked="true" hidden="false"/>
    </xf>
    <xf numFmtId="164" fontId="0" fillId="5" borderId="1" xfId="0" applyFont="true" applyBorder="true" applyAlignment="true" applyProtection="false">
      <alignment horizontal="left" vertical="center" textRotation="0" wrapText="true" indent="0" shrinkToFit="false"/>
      <protection locked="true" hidden="false"/>
    </xf>
    <xf numFmtId="164" fontId="11" fillId="3" borderId="0" xfId="0" applyFont="true" applyBorder="false" applyAlignment="true" applyProtection="false">
      <alignment horizontal="general" vertical="bottom" textRotation="0" wrapText="true" indent="0" shrinkToFit="false"/>
      <protection locked="true" hidden="false"/>
    </xf>
    <xf numFmtId="164" fontId="10" fillId="4" borderId="1"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true" applyProtection="false">
      <alignment horizontal="center" vertical="center" textRotation="0" wrapText="true" indent="0" shrinkToFit="false"/>
      <protection locked="true" hidden="false"/>
    </xf>
    <xf numFmtId="164" fontId="0" fillId="6" borderId="1" xfId="0" applyFont="true" applyBorder="true" applyAlignment="true" applyProtection="true">
      <alignment horizontal="center" vertical="center" textRotation="0" wrapText="true" indent="0" shrinkToFit="false"/>
      <protection locked="false" hidden="false"/>
    </xf>
    <xf numFmtId="164" fontId="6" fillId="0" borderId="0" xfId="0" applyFont="true" applyBorder="false" applyAlignment="true" applyProtection="false">
      <alignment horizontal="general" vertical="bottom" textRotation="0" wrapText="true" indent="0" shrinkToFit="false"/>
      <protection locked="true" hidden="false"/>
    </xf>
    <xf numFmtId="164" fontId="0" fillId="3" borderId="0" xfId="0" applyFont="true" applyBorder="false" applyAlignment="true" applyProtection="false">
      <alignment horizontal="left" vertical="center" textRotation="0" wrapText="true" indent="0" shrinkToFit="false"/>
      <protection locked="true" hidden="false"/>
    </xf>
    <xf numFmtId="164" fontId="0" fillId="6" borderId="1" xfId="0" applyFont="true" applyBorder="true" applyAlignment="true" applyProtection="true">
      <alignment horizontal="left" vertical="center" textRotation="0" wrapText="true" indent="0" shrinkToFit="false"/>
      <protection locked="false" hidden="false"/>
    </xf>
    <xf numFmtId="164" fontId="10" fillId="4" borderId="1" xfId="0" applyFont="true" applyBorder="true" applyAlignment="true" applyProtection="false">
      <alignment horizontal="center" vertical="center" textRotation="0" wrapText="true" indent="0" shrinkToFit="false"/>
      <protection locked="true" hidden="false"/>
    </xf>
    <xf numFmtId="164" fontId="10" fillId="4" borderId="2"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true">
      <alignment horizontal="left" vertical="center" textRotation="0" wrapText="true" indent="0" shrinkToFit="false"/>
      <protection locked="false" hidden="false"/>
    </xf>
    <xf numFmtId="164" fontId="0" fillId="6" borderId="4" xfId="0" applyFont="true" applyBorder="true" applyAlignment="true" applyProtection="true">
      <alignment horizontal="left" vertical="center" textRotation="0" wrapText="true" indent="0" shrinkToFit="false"/>
      <protection locked="false" hidden="false"/>
    </xf>
    <xf numFmtId="165" fontId="0" fillId="6" borderId="1" xfId="0" applyFont="true" applyBorder="true" applyAlignment="true" applyProtection="true">
      <alignment horizontal="center" vertical="center" textRotation="0" wrapText="true" indent="0" shrinkToFit="false"/>
      <protection locked="false" hidden="false"/>
    </xf>
    <xf numFmtId="164" fontId="0" fillId="3" borderId="1" xfId="0" applyFont="true" applyBorder="true" applyAlignment="true" applyProtection="false">
      <alignment horizontal="general" vertical="bottom" textRotation="0" wrapText="true" indent="0" shrinkToFit="false"/>
      <protection locked="true" hidden="false"/>
    </xf>
    <xf numFmtId="166" fontId="0" fillId="6" borderId="1" xfId="0" applyFont="true" applyBorder="true" applyAlignment="true" applyProtection="true">
      <alignment horizontal="left" vertical="center" textRotation="0" wrapText="true" indent="0" shrinkToFit="false"/>
      <protection locked="false" hidden="false"/>
    </xf>
    <xf numFmtId="166" fontId="0" fillId="6" borderId="3" xfId="0" applyFont="true" applyBorder="true" applyAlignment="true" applyProtection="true">
      <alignment horizontal="left" vertical="center" textRotation="0" wrapText="true" indent="0" shrinkToFit="false"/>
      <protection locked="false" hidden="false"/>
    </xf>
    <xf numFmtId="164" fontId="12" fillId="3" borderId="5" xfId="0" applyFont="true" applyBorder="true" applyAlignment="true" applyProtection="false">
      <alignment horizontal="left" vertical="top" textRotation="0" wrapText="true" indent="0" shrinkToFit="false"/>
      <protection locked="true" hidden="false"/>
    </xf>
    <xf numFmtId="164" fontId="12" fillId="3" borderId="0" xfId="0" applyFont="true" applyBorder="false" applyAlignment="true" applyProtection="false">
      <alignment horizontal="general" vertical="bottom" textRotation="0" wrapText="true" indent="0" shrinkToFit="false"/>
      <protection locked="true" hidden="false"/>
    </xf>
    <xf numFmtId="164" fontId="0" fillId="0" borderId="4" xfId="0" applyFont="true" applyBorder="true" applyAlignment="true" applyProtection="false">
      <alignment horizontal="center" vertical="bottom" textRotation="0" wrapText="true" indent="0" shrinkToFit="false"/>
      <protection locked="true" hidden="false"/>
    </xf>
    <xf numFmtId="164" fontId="13" fillId="6" borderId="1" xfId="0" applyFont="true" applyBorder="true" applyAlignment="true" applyProtection="true">
      <alignment horizontal="left" vertical="top" textRotation="0" wrapText="true" indent="0" shrinkToFit="false"/>
      <protection locked="false" hidden="false"/>
    </xf>
    <xf numFmtId="164" fontId="0" fillId="6" borderId="1" xfId="0" applyFont="true" applyBorder="true" applyAlignment="true" applyProtection="true">
      <alignment horizontal="center" vertical="top" textRotation="0" wrapText="true" indent="0" shrinkToFit="false"/>
      <protection locked="fals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14" fillId="3" borderId="0" xfId="0" applyFont="true" applyBorder="false" applyAlignment="true" applyProtection="false">
      <alignment horizontal="general" vertical="top" textRotation="0" wrapText="true" indent="0" shrinkToFit="false"/>
      <protection locked="true" hidden="false"/>
    </xf>
    <xf numFmtId="164" fontId="12" fillId="3" borderId="4" xfId="0" applyFont="true" applyBorder="true" applyAlignment="true" applyProtection="false">
      <alignment horizontal="left" vertical="bottom" textRotation="0" wrapText="true" indent="0" shrinkToFit="false"/>
      <protection locked="true" hidden="false"/>
    </xf>
    <xf numFmtId="164" fontId="0" fillId="6" borderId="1" xfId="0" applyFont="true" applyBorder="true" applyAlignment="true" applyProtection="true">
      <alignment horizontal="left" vertical="bottom" textRotation="0" wrapText="true" indent="0" shrinkToFit="false"/>
      <protection locked="false" hidden="false"/>
    </xf>
    <xf numFmtId="164" fontId="10" fillId="4" borderId="2" xfId="0" applyFont="true" applyBorder="true" applyAlignment="true" applyProtection="false">
      <alignment horizontal="center" vertical="center" textRotation="0" wrapText="true" indent="0" shrinkToFit="false"/>
      <protection locked="true" hidden="false"/>
    </xf>
    <xf numFmtId="164" fontId="0" fillId="6" borderId="0" xfId="0" applyFont="true" applyBorder="false" applyAlignment="true" applyProtection="true">
      <alignment horizontal="center" vertical="center" textRotation="0" wrapText="true" indent="0" shrinkToFit="false"/>
      <protection locked="false" hidden="false"/>
    </xf>
    <xf numFmtId="164" fontId="0" fillId="6" borderId="1" xfId="0" applyFont="true" applyBorder="true" applyAlignment="true" applyProtection="true">
      <alignment horizontal="left" vertical="top" textRotation="0" wrapText="true" indent="0" shrinkToFit="false"/>
      <protection locked="false" hidden="false"/>
    </xf>
    <xf numFmtId="164" fontId="9" fillId="3" borderId="0" xfId="0" applyFont="true" applyBorder="true" applyAlignment="true" applyProtection="false">
      <alignment horizontal="left" vertical="bottom" textRotation="0" wrapText="true" indent="0" shrinkToFit="false"/>
      <protection locked="true" hidden="false"/>
    </xf>
    <xf numFmtId="164" fontId="10" fillId="4" borderId="1" xfId="0" applyFont="true" applyBorder="true" applyAlignment="true" applyProtection="false">
      <alignment horizontal="general" vertical="center" textRotation="0" wrapText="true" indent="0" shrinkToFit="false"/>
      <protection locked="true" hidden="false"/>
    </xf>
    <xf numFmtId="164" fontId="0" fillId="6" borderId="2" xfId="0" applyFont="true" applyBorder="true" applyAlignment="true" applyProtection="true">
      <alignment horizontal="general" vertical="center" textRotation="0" wrapText="true" indent="0" shrinkToFit="false"/>
      <protection locked="false" hidden="false"/>
    </xf>
    <xf numFmtId="164" fontId="0" fillId="6" borderId="4" xfId="0" applyFont="true" applyBorder="true" applyAlignment="true" applyProtection="true">
      <alignment horizontal="center" vertical="top" textRotation="0" wrapText="true" indent="0" shrinkToFit="false"/>
      <protection locked="false" hidden="false"/>
    </xf>
    <xf numFmtId="164" fontId="0" fillId="3" borderId="6" xfId="0" applyFont="true" applyBorder="true" applyAlignment="true" applyProtection="true">
      <alignment horizontal="left" vertical="top" textRotation="0" wrapText="true" indent="0" shrinkToFit="false"/>
      <protection locked="false" hidden="false"/>
    </xf>
    <xf numFmtId="164" fontId="0" fillId="3" borderId="7" xfId="0" applyFont="true" applyBorder="true" applyAlignment="true" applyProtection="true">
      <alignment horizontal="left" vertical="top" textRotation="0" wrapText="true" indent="0" shrinkToFit="false"/>
      <protection locked="false" hidden="false"/>
    </xf>
    <xf numFmtId="164" fontId="14" fillId="3" borderId="0" xfId="0" applyFont="true" applyBorder="false" applyAlignment="true" applyProtection="false">
      <alignment horizontal="general" vertical="bottom" textRotation="0" wrapText="true" indent="0" shrinkToFit="false"/>
      <protection locked="true" hidden="false"/>
    </xf>
    <xf numFmtId="164" fontId="0" fillId="3" borderId="0" xfId="0" applyFont="true" applyBorder="true" applyAlignment="true" applyProtection="true">
      <alignment horizontal="left" vertical="top" textRotation="0" wrapText="true" indent="0" shrinkToFit="false"/>
      <protection locked="false" hidden="false"/>
    </xf>
    <xf numFmtId="164" fontId="0" fillId="3" borderId="8" xfId="0" applyFont="true" applyBorder="true" applyAlignment="true" applyProtection="true">
      <alignment horizontal="left" vertical="top" textRotation="0" wrapText="true" indent="0" shrinkToFit="false"/>
      <protection locked="false" hidden="false"/>
    </xf>
    <xf numFmtId="164" fontId="0" fillId="3" borderId="9" xfId="0" applyFont="true" applyBorder="true" applyAlignment="true" applyProtection="true">
      <alignment horizontal="left" vertical="top" textRotation="0" wrapText="true" indent="0" shrinkToFit="false"/>
      <protection locked="false" hidden="false"/>
    </xf>
    <xf numFmtId="164" fontId="0" fillId="3" borderId="10" xfId="0" applyFont="true" applyBorder="true" applyAlignment="true" applyProtection="true">
      <alignment horizontal="left" vertical="top" textRotation="0" wrapText="true" indent="0" shrinkToFit="false"/>
      <protection locked="false" hidden="false"/>
    </xf>
    <xf numFmtId="164" fontId="10" fillId="4" borderId="11" xfId="0" applyFont="true" applyBorder="true" applyAlignment="true" applyProtection="false">
      <alignment horizontal="left" vertical="center" textRotation="0" wrapText="true" indent="0" shrinkToFit="false"/>
      <protection locked="true" hidden="false"/>
    </xf>
    <xf numFmtId="164" fontId="0" fillId="6" borderId="11" xfId="0" applyFont="true" applyBorder="true" applyAlignment="true" applyProtection="true">
      <alignment horizontal="general" vertical="top" textRotation="0" wrapText="true" indent="0" shrinkToFit="false"/>
      <protection locked="false" hidden="false"/>
    </xf>
    <xf numFmtId="164" fontId="10" fillId="4" borderId="12" xfId="0" applyFont="true" applyBorder="true" applyAlignment="true" applyProtection="false">
      <alignment horizontal="center" vertical="center" textRotation="0" wrapText="true" indent="0" shrinkToFit="false"/>
      <protection locked="true" hidden="false"/>
    </xf>
    <xf numFmtId="164" fontId="0" fillId="6" borderId="1" xfId="0" applyFont="true" applyBorder="true" applyAlignment="true" applyProtection="true">
      <alignment horizontal="center" vertical="bottom" textRotation="0" wrapText="true" indent="0" shrinkToFit="false"/>
      <protection locked="false" hidden="false"/>
    </xf>
    <xf numFmtId="164" fontId="0" fillId="3" borderId="4" xfId="0" applyFont="true" applyBorder="true" applyAlignment="true" applyProtection="false">
      <alignment horizontal="center" vertical="bottom" textRotation="0" wrapText="true" indent="0" shrinkToFit="false"/>
      <protection locked="true" hidden="false"/>
    </xf>
    <xf numFmtId="164" fontId="12" fillId="0" borderId="6" xfId="0" applyFont="true" applyBorder="true" applyAlignment="true" applyProtection="false">
      <alignment horizontal="left" vertical="bottom" textRotation="0" wrapText="true" indent="0" shrinkToFit="false"/>
      <protection locked="true" hidden="false"/>
    </xf>
    <xf numFmtId="164" fontId="5" fillId="0" borderId="0" xfId="0" applyFont="true" applyBorder="true" applyAlignment="true" applyProtection="false">
      <alignment horizontal="center" vertical="center" textRotation="0" wrapText="true" indent="0" shrinkToFit="false"/>
      <protection locked="true" hidden="false"/>
    </xf>
    <xf numFmtId="164" fontId="10" fillId="4" borderId="0" xfId="0" applyFont="true" applyBorder="false" applyAlignment="true" applyProtection="false">
      <alignment horizontal="center" vertical="center" textRotation="0" wrapText="true" indent="0" shrinkToFit="false"/>
      <protection locked="true" hidden="false"/>
    </xf>
    <xf numFmtId="164" fontId="7" fillId="3" borderId="0" xfId="0" applyFont="true" applyBorder="true" applyAlignment="true" applyProtection="false">
      <alignment horizontal="left" vertical="center" textRotation="0" wrapText="true" indent="0" shrinkToFit="false"/>
      <protection locked="true" hidden="false"/>
    </xf>
    <xf numFmtId="164" fontId="10" fillId="7" borderId="0" xfId="0" applyFont="true" applyBorder="false" applyAlignment="true" applyProtection="false">
      <alignment horizontal="general" vertical="bottom" textRotation="0" wrapText="true" indent="0" shrinkToFit="false"/>
      <protection locked="true" hidden="false"/>
    </xf>
    <xf numFmtId="164" fontId="10" fillId="4" borderId="1" xfId="0" applyFont="true" applyBorder="true" applyAlignment="true" applyProtection="false">
      <alignment horizontal="left" vertical="bottom" textRotation="0" wrapText="true" indent="0" shrinkToFit="false"/>
      <protection locked="true" hidden="false"/>
    </xf>
    <xf numFmtId="164" fontId="12" fillId="3" borderId="12" xfId="0" applyFont="true" applyBorder="true" applyAlignment="true" applyProtection="false">
      <alignment horizontal="left" vertical="top" textRotation="0" wrapText="true" indent="0" shrinkToFit="false"/>
      <protection locked="true" hidden="false"/>
    </xf>
    <xf numFmtId="164" fontId="10" fillId="4" borderId="0" xfId="0" applyFont="true" applyBorder="true" applyAlignment="true" applyProtection="false">
      <alignment horizontal="left" vertical="center" textRotation="0" wrapText="true" indent="0" shrinkToFit="false"/>
      <protection locked="true" hidden="false"/>
    </xf>
    <xf numFmtId="164" fontId="0" fillId="6" borderId="0" xfId="0" applyFont="true" applyBorder="false" applyAlignment="true" applyProtection="true">
      <alignment horizontal="general" vertical="bottom" textRotation="0" wrapText="true" indent="0" shrinkToFit="false"/>
      <protection locked="false" hidden="false"/>
    </xf>
    <xf numFmtId="164" fontId="16" fillId="0" borderId="0" xfId="20" applyFont="true" applyBorder="true" applyAlignment="true" applyProtection="true">
      <alignment horizontal="center" vertical="bottom" textRotation="0" wrapText="true" indent="0" shrinkToFit="false"/>
      <protection locked="true" hidden="false"/>
    </xf>
    <xf numFmtId="167" fontId="0" fillId="6" borderId="1" xfId="0" applyFont="true" applyBorder="true" applyAlignment="true" applyProtection="true">
      <alignment horizontal="center" vertical="center" textRotation="0" wrapText="true" indent="0" shrinkToFit="false"/>
      <protection locked="false" hidden="false"/>
    </xf>
    <xf numFmtId="164" fontId="12" fillId="0" borderId="13" xfId="0" applyFont="true" applyBorder="true" applyAlignment="true" applyProtection="false">
      <alignment horizontal="center" vertical="top" textRotation="0" wrapText="true" indent="0" shrinkToFit="false"/>
      <protection locked="true" hidden="false"/>
    </xf>
    <xf numFmtId="166" fontId="0" fillId="6" borderId="1" xfId="0" applyFont="true" applyBorder="true" applyAlignment="true" applyProtection="true">
      <alignment horizontal="center" vertical="center" textRotation="0" wrapText="true" indent="0" shrinkToFit="false"/>
      <protection locked="false" hidden="false"/>
    </xf>
    <xf numFmtId="168" fontId="0" fillId="6" borderId="1" xfId="0" applyFont="true" applyBorder="true" applyAlignment="true" applyProtection="true">
      <alignment horizontal="center" vertical="center" textRotation="0" wrapText="true" indent="0" shrinkToFit="false"/>
      <protection locked="false" hidden="false"/>
    </xf>
    <xf numFmtId="168" fontId="13" fillId="6" borderId="1" xfId="0" applyFont="true" applyBorder="true" applyAlignment="true" applyProtection="true">
      <alignment horizontal="center" vertical="center" textRotation="0" wrapText="true" indent="0" shrinkToFit="false"/>
      <protection locked="false" hidden="false"/>
    </xf>
    <xf numFmtId="164" fontId="11" fillId="3" borderId="12" xfId="0" applyFont="true" applyBorder="true" applyAlignment="true" applyProtection="false">
      <alignment horizontal="center" vertical="bottom" textRotation="0" wrapText="true" indent="0" shrinkToFit="false"/>
      <protection locked="true" hidden="false"/>
    </xf>
    <xf numFmtId="164" fontId="10" fillId="7" borderId="14" xfId="0" applyFont="true" applyBorder="true" applyAlignment="true" applyProtection="false">
      <alignment horizontal="left" vertical="center" textRotation="0" wrapText="true" indent="0" shrinkToFit="false"/>
      <protection locked="true" hidden="false"/>
    </xf>
    <xf numFmtId="164" fontId="10" fillId="3" borderId="0" xfId="0" applyFont="true" applyBorder="true" applyAlignment="true" applyProtection="false">
      <alignment horizontal="center" vertical="bottom" textRotation="0" wrapText="true" indent="0" shrinkToFit="false"/>
      <protection locked="true" hidden="false"/>
    </xf>
    <xf numFmtId="164" fontId="10" fillId="4" borderId="1" xfId="0" applyFont="true" applyBorder="true" applyAlignment="true" applyProtection="false">
      <alignment horizontal="general" vertical="top" textRotation="0" wrapText="true" indent="0" shrinkToFit="false"/>
      <protection locked="true" hidden="false"/>
    </xf>
    <xf numFmtId="164" fontId="10" fillId="4" borderId="15" xfId="0" applyFont="true" applyBorder="true" applyAlignment="true" applyProtection="false">
      <alignment horizontal="general" vertical="center" textRotation="0" wrapText="true" indent="0" shrinkToFit="false"/>
      <protection locked="true" hidden="false"/>
    </xf>
    <xf numFmtId="164" fontId="10" fillId="8" borderId="15" xfId="0" applyFont="true" applyBorder="true" applyAlignment="true" applyProtection="false">
      <alignment horizontal="general" vertical="center" textRotation="0" wrapText="true" indent="0" shrinkToFit="false"/>
      <protection locked="true" hidden="false"/>
    </xf>
    <xf numFmtId="164" fontId="10" fillId="4" borderId="11" xfId="0" applyFont="true" applyBorder="true" applyAlignment="true" applyProtection="false">
      <alignment horizontal="general" vertical="center" textRotation="0" wrapText="true" indent="0" shrinkToFit="false"/>
      <protection locked="true" hidden="false"/>
    </xf>
    <xf numFmtId="164" fontId="10" fillId="4" borderId="2" xfId="0" applyFont="true" applyBorder="true" applyAlignment="true" applyProtection="false">
      <alignment horizontal="general" vertical="center" textRotation="0" wrapText="true" indent="0" shrinkToFit="false"/>
      <protection locked="true" hidden="false"/>
    </xf>
    <xf numFmtId="164" fontId="0" fillId="9" borderId="3" xfId="0" applyFont="true" applyBorder="true" applyAlignment="true" applyProtection="false">
      <alignment horizontal="left" vertical="center" textRotation="0" wrapText="true" indent="0" shrinkToFit="false"/>
      <protection locked="true" hidden="false"/>
    </xf>
    <xf numFmtId="169" fontId="0" fillId="6" borderId="1" xfId="0" applyFont="true" applyBorder="true" applyAlignment="true" applyProtection="true">
      <alignment horizontal="center" vertical="center" textRotation="0" wrapText="true" indent="0" shrinkToFit="false"/>
      <protection locked="false" hidden="false"/>
    </xf>
    <xf numFmtId="169" fontId="0" fillId="10" borderId="1" xfId="0" applyFont="true" applyBorder="true" applyAlignment="true" applyProtection="false">
      <alignment horizontal="center" vertical="center" textRotation="0" wrapText="true" indent="0" shrinkToFit="false"/>
      <protection locked="true" hidden="false"/>
    </xf>
    <xf numFmtId="169" fontId="13" fillId="6" borderId="10" xfId="0" applyFont="true" applyBorder="true" applyAlignment="true" applyProtection="true">
      <alignment horizontal="center" vertical="center" textRotation="0" wrapText="true" indent="0" shrinkToFit="false"/>
      <protection locked="false" hidden="false"/>
    </xf>
    <xf numFmtId="169" fontId="13" fillId="6" borderId="2" xfId="0" applyFont="true" applyBorder="true" applyAlignment="true" applyProtection="true">
      <alignment horizontal="center" vertical="center" textRotation="0" wrapText="true" indent="0" shrinkToFit="false"/>
      <protection locked="false" hidden="false"/>
    </xf>
    <xf numFmtId="168" fontId="13" fillId="6" borderId="16" xfId="0" applyFont="true" applyBorder="true" applyAlignment="true" applyProtection="true">
      <alignment horizontal="center" vertical="center" textRotation="0" wrapText="true" indent="0" shrinkToFit="false"/>
      <protection locked="false" hidden="false"/>
    </xf>
    <xf numFmtId="164" fontId="10" fillId="4" borderId="6" xfId="0" applyFont="true" applyBorder="true" applyAlignment="true" applyProtection="false">
      <alignment horizontal="left" vertical="center" textRotation="0" wrapText="true" indent="0" shrinkToFit="false"/>
      <protection locked="true" hidden="false"/>
    </xf>
    <xf numFmtId="169" fontId="0" fillId="6" borderId="17" xfId="0" applyFont="true" applyBorder="true" applyAlignment="true" applyProtection="true">
      <alignment horizontal="center" vertical="center" textRotation="0" wrapText="true" indent="0" shrinkToFit="false"/>
      <protection locked="false" hidden="false"/>
    </xf>
    <xf numFmtId="169" fontId="13" fillId="6" borderId="18" xfId="0" applyFont="true" applyBorder="true" applyAlignment="true" applyProtection="true">
      <alignment horizontal="center" vertical="center" textRotation="0" wrapText="true" indent="0" shrinkToFit="false"/>
      <protection locked="false" hidden="false"/>
    </xf>
    <xf numFmtId="168" fontId="0" fillId="6" borderId="15" xfId="0" applyFont="true" applyBorder="true" applyAlignment="true" applyProtection="true">
      <alignment horizontal="center" vertical="center" textRotation="0" wrapText="true" indent="0" shrinkToFit="false"/>
      <protection locked="false" hidden="false"/>
    </xf>
    <xf numFmtId="168" fontId="0" fillId="6" borderId="19" xfId="0" applyFont="true" applyBorder="true" applyAlignment="true" applyProtection="true">
      <alignment horizontal="center" vertical="center" textRotation="0" wrapText="true" indent="0" shrinkToFit="false"/>
      <protection locked="false" hidden="false"/>
    </xf>
    <xf numFmtId="168" fontId="13" fillId="6" borderId="20" xfId="0" applyFont="true" applyBorder="true" applyAlignment="true" applyProtection="true">
      <alignment horizontal="center" vertical="center" textRotation="0" wrapText="true" indent="0" shrinkToFit="false"/>
      <protection locked="false" hidden="false"/>
    </xf>
    <xf numFmtId="169" fontId="0" fillId="6" borderId="21" xfId="0" applyFont="true" applyBorder="true" applyAlignment="true" applyProtection="true">
      <alignment horizontal="center" vertical="center" textRotation="0" wrapText="true" indent="0" shrinkToFit="false"/>
      <protection locked="false" hidden="false"/>
    </xf>
    <xf numFmtId="169" fontId="0" fillId="10" borderId="22" xfId="0" applyFont="true" applyBorder="true" applyAlignment="true" applyProtection="false">
      <alignment horizontal="center" vertical="center" textRotation="0" wrapText="true" indent="0" shrinkToFit="false"/>
      <protection locked="true" hidden="false"/>
    </xf>
    <xf numFmtId="164" fontId="10" fillId="8" borderId="23" xfId="0" applyFont="true" applyBorder="true" applyAlignment="true" applyProtection="false">
      <alignment horizontal="center" vertical="center" textRotation="90" wrapText="true" indent="0" shrinkToFit="false"/>
      <protection locked="true" hidden="false"/>
    </xf>
    <xf numFmtId="169" fontId="13" fillId="6" borderId="21" xfId="0" applyFont="true" applyBorder="true" applyAlignment="true" applyProtection="true">
      <alignment horizontal="center" vertical="center" textRotation="0" wrapText="true" indent="0" shrinkToFit="false"/>
      <protection locked="false" hidden="false"/>
    </xf>
    <xf numFmtId="169" fontId="13" fillId="6" borderId="22" xfId="0" applyFont="true" applyBorder="true" applyAlignment="true" applyProtection="true">
      <alignment horizontal="center" vertical="center" textRotation="0" wrapText="true" indent="0" shrinkToFit="false"/>
      <protection locked="false" hidden="false"/>
    </xf>
    <xf numFmtId="169" fontId="0" fillId="6" borderId="24" xfId="0" applyFont="true" applyBorder="true" applyAlignment="true" applyProtection="true">
      <alignment horizontal="center" vertical="center" textRotation="0" wrapText="true" indent="0" shrinkToFit="false"/>
      <protection locked="false" hidden="false"/>
    </xf>
    <xf numFmtId="169" fontId="0" fillId="10" borderId="18" xfId="0" applyFont="true" applyBorder="true" applyAlignment="true" applyProtection="false">
      <alignment horizontal="center" vertical="center" textRotation="0" wrapText="true" indent="0" shrinkToFit="false"/>
      <protection locked="true" hidden="false"/>
    </xf>
    <xf numFmtId="169" fontId="13" fillId="6" borderId="24" xfId="0" applyFont="true" applyBorder="true" applyAlignment="true" applyProtection="true">
      <alignment horizontal="center" vertical="center" textRotation="0" wrapText="true" indent="0" shrinkToFit="false"/>
      <protection locked="false" hidden="false"/>
    </xf>
    <xf numFmtId="169" fontId="0" fillId="10" borderId="25" xfId="0" applyFont="true" applyBorder="true" applyAlignment="true" applyProtection="false">
      <alignment horizontal="center" vertical="center" textRotation="0" wrapText="true" indent="0" shrinkToFit="false"/>
      <protection locked="true" hidden="false"/>
    </xf>
    <xf numFmtId="169" fontId="0" fillId="6" borderId="20" xfId="0" applyFont="true" applyBorder="true" applyAlignment="true" applyProtection="true">
      <alignment horizontal="center" vertical="center" textRotation="0" wrapText="true" indent="0" shrinkToFit="false"/>
      <protection locked="false" hidden="false"/>
    </xf>
    <xf numFmtId="169" fontId="0" fillId="6" borderId="26" xfId="0" applyFont="true" applyBorder="true" applyAlignment="true" applyProtection="true">
      <alignment horizontal="center" vertical="center" textRotation="0" wrapText="true" indent="0" shrinkToFit="false"/>
      <protection locked="false" hidden="false"/>
    </xf>
    <xf numFmtId="169" fontId="0" fillId="10" borderId="27" xfId="0" applyFont="true" applyBorder="true" applyAlignment="true" applyProtection="false">
      <alignment horizontal="center" vertical="center" textRotation="0" wrapText="true" indent="0" shrinkToFit="false"/>
      <protection locked="true" hidden="false"/>
    </xf>
    <xf numFmtId="169" fontId="13" fillId="6" borderId="20" xfId="0" applyFont="true" applyBorder="true" applyAlignment="true" applyProtection="true">
      <alignment horizontal="center" vertical="center" textRotation="0" wrapText="true" indent="0" shrinkToFit="false"/>
      <protection locked="false" hidden="false"/>
    </xf>
    <xf numFmtId="169" fontId="13" fillId="6" borderId="28" xfId="0" applyFont="true" applyBorder="true" applyAlignment="true" applyProtection="true">
      <alignment horizontal="center" vertical="center" textRotation="0" wrapText="true" indent="0" shrinkToFit="false"/>
      <protection locked="false" hidden="false"/>
    </xf>
    <xf numFmtId="164" fontId="0" fillId="9" borderId="1" xfId="0" applyFont="true" applyBorder="true" applyAlignment="true" applyProtection="false">
      <alignment horizontal="left" vertical="center" textRotation="0" wrapText="true" indent="0" shrinkToFit="false"/>
      <protection locked="true" hidden="false"/>
    </xf>
    <xf numFmtId="169" fontId="0" fillId="6" borderId="8" xfId="0" applyFont="true" applyBorder="true" applyAlignment="true" applyProtection="true">
      <alignment horizontal="center" vertical="center" textRotation="0" wrapText="true" indent="0" shrinkToFit="false"/>
      <protection locked="false" hidden="false"/>
    </xf>
    <xf numFmtId="169" fontId="0" fillId="6" borderId="5" xfId="0" applyFont="true" applyBorder="true" applyAlignment="true" applyProtection="true">
      <alignment horizontal="center" vertical="center" textRotation="0" wrapText="true" indent="0" shrinkToFit="false"/>
      <protection locked="false" hidden="false"/>
    </xf>
    <xf numFmtId="169" fontId="0" fillId="10" borderId="10" xfId="0" applyFont="true" applyBorder="true" applyAlignment="true" applyProtection="false">
      <alignment horizontal="center" vertical="center" textRotation="0" wrapText="true" indent="0" shrinkToFit="false"/>
      <protection locked="true" hidden="false"/>
    </xf>
    <xf numFmtId="169" fontId="0" fillId="6" borderId="15" xfId="0" applyFont="true" applyBorder="true" applyAlignment="true" applyProtection="true">
      <alignment horizontal="center" vertical="center" textRotation="0" wrapText="true" indent="0" shrinkToFit="false"/>
      <protection locked="false" hidden="false"/>
    </xf>
    <xf numFmtId="169" fontId="0" fillId="10" borderId="7" xfId="0" applyFont="true" applyBorder="true" applyAlignment="true" applyProtection="false">
      <alignment horizontal="center" vertical="center" textRotation="0" wrapText="true" indent="0" shrinkToFit="false"/>
      <protection locked="true" hidden="false"/>
    </xf>
    <xf numFmtId="169" fontId="0" fillId="6" borderId="29" xfId="0" applyFont="true" applyBorder="true" applyAlignment="true" applyProtection="true">
      <alignment horizontal="center" vertical="center" textRotation="0" wrapText="true" indent="0" shrinkToFit="false"/>
      <protection locked="false" hidden="false"/>
    </xf>
    <xf numFmtId="169" fontId="0" fillId="10" borderId="30" xfId="0" applyFont="true" applyBorder="true" applyAlignment="true" applyProtection="false">
      <alignment horizontal="center" vertical="center" textRotation="0" wrapText="true" indent="0" shrinkToFit="false"/>
      <protection locked="true" hidden="false"/>
    </xf>
    <xf numFmtId="169" fontId="0" fillId="10" borderId="2" xfId="0" applyFont="true" applyBorder="true" applyAlignment="true" applyProtection="false">
      <alignment horizontal="center" vertical="center" textRotation="0" wrapText="true" indent="0" shrinkToFit="false"/>
      <protection locked="true" hidden="false"/>
    </xf>
    <xf numFmtId="169" fontId="13" fillId="6" borderId="11" xfId="0" applyFont="true" applyBorder="true" applyAlignment="true" applyProtection="true">
      <alignment horizontal="center" vertical="center" textRotation="0" wrapText="true" indent="0" shrinkToFit="false"/>
      <protection locked="false" hidden="false"/>
    </xf>
    <xf numFmtId="169" fontId="13" fillId="6" borderId="15" xfId="0" applyFont="true" applyBorder="true" applyAlignment="true" applyProtection="true">
      <alignment horizontal="center" vertical="center" textRotation="0" wrapText="true" indent="0" shrinkToFit="false"/>
      <protection locked="false" hidden="false"/>
    </xf>
    <xf numFmtId="169" fontId="13" fillId="6" borderId="31" xfId="0" applyFont="true" applyBorder="true" applyAlignment="true" applyProtection="true">
      <alignment horizontal="center" vertical="center" textRotation="0" wrapText="true" indent="0" shrinkToFit="false"/>
      <protection locked="false" hidden="false"/>
    </xf>
    <xf numFmtId="169" fontId="13" fillId="6" borderId="1" xfId="0" applyFont="true" applyBorder="true" applyAlignment="true" applyProtection="true">
      <alignment horizontal="center" vertical="center" textRotation="0" wrapText="true" indent="0" shrinkToFit="false"/>
      <protection locked="false" hidden="false"/>
    </xf>
    <xf numFmtId="164" fontId="13" fillId="9" borderId="1" xfId="0" applyFont="true" applyBorder="true" applyAlignment="true" applyProtection="false">
      <alignment horizontal="left" vertical="center" textRotation="0" wrapText="true" indent="0" shrinkToFit="false"/>
      <protection locked="true" hidden="false"/>
    </xf>
    <xf numFmtId="164" fontId="10" fillId="8" borderId="15" xfId="0" applyFont="true" applyBorder="true" applyAlignment="true" applyProtection="false">
      <alignment horizontal="center" vertical="center" textRotation="0" wrapText="true" indent="0" shrinkToFit="false"/>
      <protection locked="true" hidden="false"/>
    </xf>
    <xf numFmtId="164" fontId="17" fillId="8" borderId="1" xfId="0" applyFont="true" applyBorder="true" applyAlignment="true" applyProtection="false">
      <alignment horizontal="left" vertical="center" textRotation="0" wrapText="true" indent="0" shrinkToFit="false"/>
      <protection locked="true" hidden="false"/>
    </xf>
    <xf numFmtId="169" fontId="0" fillId="11" borderId="1" xfId="0" applyFont="true" applyBorder="true" applyAlignment="true" applyProtection="false">
      <alignment horizontal="center" vertical="center" textRotation="0" wrapText="true" indent="0" shrinkToFit="false"/>
      <protection locked="true" hidden="false"/>
    </xf>
    <xf numFmtId="164" fontId="17" fillId="8" borderId="15" xfId="0" applyFont="true" applyBorder="true" applyAlignment="true" applyProtection="false">
      <alignment horizontal="left" vertical="center" textRotation="0" wrapText="true" indent="0" shrinkToFit="false"/>
      <protection locked="true" hidden="false"/>
    </xf>
    <xf numFmtId="164" fontId="0" fillId="12" borderId="0" xfId="0" applyFont="true" applyBorder="false" applyAlignment="true" applyProtection="false">
      <alignment horizontal="general" vertical="bottom" textRotation="0" wrapText="true" indent="0" shrinkToFit="false"/>
      <protection locked="true" hidden="false"/>
    </xf>
    <xf numFmtId="164" fontId="12" fillId="3" borderId="13" xfId="0" applyFont="true" applyBorder="true" applyAlignment="true" applyProtection="false">
      <alignment horizontal="left" vertical="center" textRotation="0" wrapText="true" indent="0" shrinkToFit="false"/>
      <protection locked="true" hidden="false"/>
    </xf>
    <xf numFmtId="164" fontId="12" fillId="3" borderId="0" xfId="0" applyFont="true" applyBorder="false" applyAlignment="true" applyProtection="false">
      <alignment horizontal="general" vertical="center" textRotation="0" wrapText="true" indent="0" shrinkToFit="false"/>
      <protection locked="true" hidden="false"/>
    </xf>
    <xf numFmtId="169" fontId="0" fillId="10" borderId="3" xfId="0" applyFont="true" applyBorder="true" applyAlignment="true" applyProtection="false">
      <alignment horizontal="center" vertical="center" textRotation="0" wrapText="true" indent="0" shrinkToFit="false"/>
      <protection locked="true" hidden="false"/>
    </xf>
    <xf numFmtId="169" fontId="0" fillId="6" borderId="32" xfId="0" applyFont="true" applyBorder="true" applyAlignment="true" applyProtection="true">
      <alignment horizontal="center" vertical="center" textRotation="0" wrapText="true" indent="0" shrinkToFit="false"/>
      <protection locked="false" hidden="false"/>
    </xf>
    <xf numFmtId="169" fontId="0" fillId="10" borderId="33" xfId="0" applyFont="true" applyBorder="true" applyAlignment="true" applyProtection="false">
      <alignment horizontal="center" vertical="center" textRotation="0" wrapText="true" indent="0" shrinkToFit="false"/>
      <protection locked="true" hidden="false"/>
    </xf>
    <xf numFmtId="164" fontId="10" fillId="8" borderId="0" xfId="0" applyFont="true" applyBorder="true" applyAlignment="true" applyProtection="false">
      <alignment horizontal="center" vertical="center" textRotation="90" wrapText="true" indent="0" shrinkToFit="false"/>
      <protection locked="true" hidden="false"/>
    </xf>
    <xf numFmtId="169" fontId="0" fillId="6" borderId="34" xfId="0" applyFont="true" applyBorder="true" applyAlignment="true" applyProtection="true">
      <alignment horizontal="center" vertical="center" textRotation="0" wrapText="true" indent="0" shrinkToFit="false"/>
      <protection locked="false" hidden="false"/>
    </xf>
    <xf numFmtId="169" fontId="0" fillId="6" borderId="35" xfId="0" applyFont="true" applyBorder="true" applyAlignment="true" applyProtection="true">
      <alignment horizontal="center" vertical="center" textRotation="0" wrapText="true" indent="0" shrinkToFit="false"/>
      <protection locked="false" hidden="false"/>
    </xf>
    <xf numFmtId="169" fontId="0" fillId="6" borderId="36" xfId="0" applyFont="true" applyBorder="true" applyAlignment="true" applyProtection="true">
      <alignment horizontal="center" vertical="center" textRotation="0" wrapText="true" indent="0" shrinkToFit="false"/>
      <protection locked="false" hidden="false"/>
    </xf>
    <xf numFmtId="169" fontId="0" fillId="10" borderId="37" xfId="0" applyFont="true" applyBorder="true" applyAlignment="true" applyProtection="false">
      <alignment horizontal="center" vertical="center" textRotation="0" wrapText="true" indent="0" shrinkToFit="false"/>
      <protection locked="true" hidden="false"/>
    </xf>
    <xf numFmtId="169" fontId="0" fillId="6" borderId="30" xfId="0" applyFont="true" applyBorder="true" applyAlignment="true" applyProtection="true">
      <alignment horizontal="center" vertical="center" textRotation="0" wrapText="true" indent="0" shrinkToFit="false"/>
      <protection locked="false" hidden="false"/>
    </xf>
    <xf numFmtId="169" fontId="0" fillId="6" borderId="11" xfId="0" applyFont="true" applyBorder="true" applyAlignment="true" applyProtection="true">
      <alignment horizontal="center" vertical="center" textRotation="0" wrapText="true" indent="0" shrinkToFit="false"/>
      <protection locked="false" hidden="false"/>
    </xf>
    <xf numFmtId="169" fontId="0" fillId="10" borderId="14" xfId="0" applyFont="true" applyBorder="true" applyAlignment="true" applyProtection="false">
      <alignment horizontal="center" vertical="center" textRotation="0" wrapText="true" indent="0" shrinkToFit="false"/>
      <protection locked="true" hidden="false"/>
    </xf>
    <xf numFmtId="169" fontId="0" fillId="6" borderId="38" xfId="0" applyFont="true" applyBorder="true" applyAlignment="true" applyProtection="true">
      <alignment horizontal="center" vertical="center" textRotation="0" wrapText="true" indent="0" shrinkToFit="false"/>
      <protection locked="false" hidden="false"/>
    </xf>
    <xf numFmtId="169" fontId="0" fillId="6" borderId="39" xfId="0" applyFont="true" applyBorder="true" applyAlignment="true" applyProtection="true">
      <alignment horizontal="center" vertical="center" textRotation="0" wrapText="true" indent="0" shrinkToFit="false"/>
      <protection locked="false" hidden="false"/>
    </xf>
    <xf numFmtId="164" fontId="0" fillId="3" borderId="0" xfId="0" applyFont="true" applyBorder="true" applyAlignment="true" applyProtection="false">
      <alignment horizontal="general" vertical="bottom" textRotation="0" wrapText="true" indent="0" shrinkToFit="false"/>
      <protection locked="true" hidden="false"/>
    </xf>
    <xf numFmtId="169" fontId="0" fillId="3"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bottom" textRotation="0" wrapText="true" indent="0" shrinkToFit="false"/>
      <protection locked="true" hidden="false"/>
    </xf>
    <xf numFmtId="164" fontId="10" fillId="8" borderId="1" xfId="0" applyFont="true" applyBorder="true" applyAlignment="true" applyProtection="false">
      <alignment horizontal="general" vertical="center" textRotation="0" wrapText="true" indent="0" shrinkToFit="false"/>
      <protection locked="true" hidden="false"/>
    </xf>
    <xf numFmtId="164" fontId="4" fillId="13" borderId="12" xfId="0" applyFont="true" applyBorder="true" applyAlignment="true" applyProtection="false">
      <alignment horizontal="left" vertical="top" textRotation="0" wrapText="true" indent="0" shrinkToFit="false"/>
      <protection locked="true" hidden="false"/>
    </xf>
    <xf numFmtId="164" fontId="10" fillId="8" borderId="1" xfId="0" applyFont="true" applyBorder="true" applyAlignment="true" applyProtection="false">
      <alignment horizontal="left" vertical="center" textRotation="0" wrapText="true" indent="0" shrinkToFit="false"/>
      <protection locked="true" hidden="false"/>
    </xf>
    <xf numFmtId="169" fontId="0" fillId="5" borderId="1" xfId="0" applyFont="true" applyBorder="true" applyAlignment="true" applyProtection="false">
      <alignment horizontal="center" vertical="center" textRotation="0" wrapText="true" indent="0" shrinkToFit="false"/>
      <protection locked="true" hidden="false"/>
    </xf>
    <xf numFmtId="164" fontId="8" fillId="8" borderId="1" xfId="0" applyFont="true" applyBorder="true" applyAlignment="true" applyProtection="false">
      <alignment horizontal="left" vertical="center" textRotation="0" wrapText="true" indent="0" shrinkToFit="false"/>
      <protection locked="true" hidden="false"/>
    </xf>
    <xf numFmtId="164" fontId="5" fillId="3" borderId="0" xfId="0" applyFont="true" applyBorder="false" applyAlignment="true" applyProtection="false">
      <alignment horizontal="general" vertical="bottom" textRotation="0" wrapText="true" indent="0" shrinkToFit="false"/>
      <protection locked="true" hidden="false"/>
    </xf>
    <xf numFmtId="164" fontId="10" fillId="7" borderId="0" xfId="0" applyFont="true" applyBorder="false" applyAlignment="true" applyProtection="false">
      <alignment horizontal="general" vertical="center" textRotation="0" wrapText="true" indent="0" shrinkToFit="false"/>
      <protection locked="true" hidden="false"/>
    </xf>
    <xf numFmtId="168" fontId="0" fillId="6" borderId="24" xfId="0" applyFont="true" applyBorder="true" applyAlignment="true" applyProtection="true">
      <alignment horizontal="center" vertical="center" textRotation="0" wrapText="true" indent="0" shrinkToFit="false"/>
      <protection locked="false" hidden="false"/>
    </xf>
    <xf numFmtId="164" fontId="10" fillId="4" borderId="12" xfId="0" applyFont="true" applyBorder="true" applyAlignment="true" applyProtection="false">
      <alignment horizontal="left" vertical="center" textRotation="0" wrapText="true" indent="0" shrinkToFit="false"/>
      <protection locked="true" hidden="false"/>
    </xf>
    <xf numFmtId="164" fontId="12" fillId="0" borderId="0" xfId="0" applyFont="true" applyBorder="false" applyAlignment="true" applyProtection="false">
      <alignment horizontal="general" vertical="bottom" textRotation="0" wrapText="true" indent="0" shrinkToFit="false"/>
      <protection locked="true" hidden="false"/>
    </xf>
    <xf numFmtId="164" fontId="0" fillId="9" borderId="3" xfId="0" applyFont="true" applyBorder="true" applyAlignment="true" applyProtection="false">
      <alignment horizontal="general" vertical="bottom" textRotation="0" wrapText="true" indent="0" shrinkToFit="false"/>
      <protection locked="true" hidden="false"/>
    </xf>
    <xf numFmtId="169" fontId="0" fillId="10" borderId="11" xfId="0" applyFont="true" applyBorder="true" applyAlignment="true" applyProtection="false">
      <alignment horizontal="center" vertical="center" textRotation="0" wrapText="true" indent="0" shrinkToFit="false"/>
      <protection locked="true" hidden="false"/>
    </xf>
    <xf numFmtId="164" fontId="10" fillId="8" borderId="1" xfId="0" applyFont="true" applyBorder="true" applyAlignment="true" applyProtection="false">
      <alignment horizontal="general" vertical="bottom" textRotation="0" wrapText="true" indent="0" shrinkToFit="false"/>
      <protection locked="true" hidden="false"/>
    </xf>
    <xf numFmtId="164" fontId="10" fillId="8" borderId="15" xfId="0" applyFont="true" applyBorder="true" applyAlignment="true" applyProtection="false">
      <alignment horizontal="general" vertical="bottom" textRotation="0" wrapText="true" indent="0" shrinkToFit="false"/>
      <protection locked="true" hidden="false"/>
    </xf>
    <xf numFmtId="164" fontId="13" fillId="6" borderId="3" xfId="0" applyFont="true" applyBorder="true" applyAlignment="true" applyProtection="true">
      <alignment horizontal="center" vertical="center" textRotation="0" wrapText="true" indent="0" shrinkToFit="false"/>
      <protection locked="false" hidden="false"/>
    </xf>
    <xf numFmtId="164" fontId="13" fillId="6" borderId="1" xfId="0" applyFont="true" applyBorder="true" applyAlignment="true" applyProtection="true">
      <alignment horizontal="center" vertical="center" textRotation="0" wrapText="true" indent="0" shrinkToFit="false"/>
      <protection locked="false" hidden="false"/>
    </xf>
    <xf numFmtId="164" fontId="10" fillId="4" borderId="6" xfId="0" applyFont="true" applyBorder="true" applyAlignment="true" applyProtection="false">
      <alignment horizontal="general" vertical="center" textRotation="0" wrapText="true" indent="0" shrinkToFit="false"/>
      <protection locked="true" hidden="false"/>
    </xf>
    <xf numFmtId="164" fontId="13" fillId="6" borderId="15" xfId="0" applyFont="true" applyBorder="true" applyAlignment="true" applyProtection="true">
      <alignment horizontal="center" vertical="center" textRotation="0" wrapText="true" indent="0" shrinkToFit="false"/>
      <protection locked="false" hidden="false"/>
    </xf>
    <xf numFmtId="164" fontId="13" fillId="9" borderId="15" xfId="0" applyFont="true" applyBorder="true" applyAlignment="true" applyProtection="false">
      <alignment horizontal="left" vertical="center" textRotation="0" wrapText="true" indent="0" shrinkToFit="false"/>
      <protection locked="true" hidden="false"/>
    </xf>
    <xf numFmtId="164" fontId="0" fillId="3" borderId="13" xfId="0" applyFont="true" applyBorder="true" applyAlignment="true" applyProtection="true">
      <alignment horizontal="center" vertical="center" textRotation="0" wrapText="true" indent="0" shrinkToFit="false"/>
      <protection locked="false" hidden="false"/>
    </xf>
    <xf numFmtId="164" fontId="10" fillId="3" borderId="0" xfId="0" applyFont="true" applyBorder="true" applyAlignment="true" applyProtection="false">
      <alignment horizontal="center" vertical="center" textRotation="0" wrapText="true" indent="0" shrinkToFit="false"/>
      <protection locked="true" hidden="false"/>
    </xf>
    <xf numFmtId="164" fontId="0" fillId="3" borderId="6" xfId="0" applyFont="true" applyBorder="true" applyAlignment="true" applyProtection="false">
      <alignment horizontal="left" vertical="center" textRotation="0" wrapText="true" indent="0" shrinkToFit="false"/>
      <protection locked="true" hidden="false"/>
    </xf>
    <xf numFmtId="164" fontId="0" fillId="3" borderId="6" xfId="0" applyFont="true" applyBorder="true" applyAlignment="true" applyProtection="true">
      <alignment horizontal="center" vertical="center" textRotation="0" wrapText="true" indent="0" shrinkToFit="false"/>
      <protection locked="false" hidden="false"/>
    </xf>
    <xf numFmtId="164" fontId="10" fillId="3" borderId="6" xfId="0" applyFont="true" applyBorder="true" applyAlignment="true" applyProtection="false">
      <alignment horizontal="general" vertical="center" textRotation="0" wrapText="true" indent="0" shrinkToFit="false"/>
      <protection locked="true" hidden="false"/>
    </xf>
    <xf numFmtId="164" fontId="0" fillId="3" borderId="7" xfId="0" applyFont="true" applyBorder="true" applyAlignment="true" applyProtection="true">
      <alignment horizontal="center" vertical="center" textRotation="0" wrapText="true" indent="0" shrinkToFit="false"/>
      <protection locked="false" hidden="false"/>
    </xf>
    <xf numFmtId="164" fontId="5" fillId="2" borderId="7" xfId="0" applyFont="true" applyBorder="true" applyAlignment="true" applyProtection="false">
      <alignment horizontal="left" vertical="center" textRotation="0" wrapText="true" indent="0" shrinkToFit="false"/>
      <protection locked="true" hidden="false"/>
    </xf>
    <xf numFmtId="164" fontId="0" fillId="9" borderId="1" xfId="0" applyFont="true" applyBorder="true" applyAlignment="true" applyProtection="false">
      <alignment horizontal="general" vertical="center" textRotation="0" wrapText="true" indent="0" shrinkToFit="false"/>
      <protection locked="true" hidden="false"/>
    </xf>
    <xf numFmtId="164" fontId="10" fillId="0" borderId="0" xfId="0" applyFont="true" applyBorder="true" applyAlignment="true" applyProtection="false">
      <alignment horizontal="general" vertical="center" textRotation="0" wrapText="true" indent="0" shrinkToFit="false"/>
      <protection locked="true" hidden="false"/>
    </xf>
    <xf numFmtId="164" fontId="10" fillId="4" borderId="6"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true" applyAlignment="true" applyProtection="false">
      <alignment horizontal="center" vertical="center" textRotation="0" wrapText="true" indent="0" shrinkToFit="false"/>
      <protection locked="true" hidden="false"/>
    </xf>
    <xf numFmtId="164" fontId="7" fillId="3" borderId="0" xfId="0" applyFont="true" applyBorder="true" applyAlignment="true" applyProtection="false">
      <alignment horizontal="center" vertical="bottom" textRotation="0" wrapText="true" indent="0" shrinkToFit="false"/>
      <protection locked="true" hidden="false"/>
    </xf>
    <xf numFmtId="164" fontId="10" fillId="7" borderId="0" xfId="0" applyFont="true" applyBorder="true" applyAlignment="true" applyProtection="false">
      <alignment horizontal="center" vertical="bottom" textRotation="0" wrapText="true" indent="0" shrinkToFit="false"/>
      <protection locked="true" hidden="false"/>
    </xf>
    <xf numFmtId="164" fontId="8" fillId="4" borderId="1" xfId="0" applyFont="true" applyBorder="true" applyAlignment="true" applyProtection="false">
      <alignment horizontal="left" vertical="center" textRotation="0" wrapText="true" indent="0" shrinkToFit="false"/>
      <protection locked="true" hidden="false"/>
    </xf>
    <xf numFmtId="164" fontId="6" fillId="3" borderId="0" xfId="0" applyFont="true" applyBorder="false" applyAlignment="true" applyProtection="false">
      <alignment horizontal="left" vertical="center" textRotation="0" wrapText="true" indent="0" shrinkToFit="false"/>
      <protection locked="true" hidden="false"/>
    </xf>
    <xf numFmtId="164" fontId="6" fillId="0" borderId="0" xfId="0" applyFont="true" applyBorder="false" applyAlignment="true" applyProtection="false">
      <alignment horizontal="left" vertical="center" textRotation="0" wrapText="true" indent="0" shrinkToFit="false"/>
      <protection locked="true" hidden="false"/>
    </xf>
    <xf numFmtId="164" fontId="6" fillId="3" borderId="0" xfId="0" applyFont="true" applyBorder="false" applyAlignment="true" applyProtection="false">
      <alignment horizontal="center" vertical="center" textRotation="0" wrapText="true" indent="0" shrinkToFit="false"/>
      <protection locked="true" hidden="false"/>
    </xf>
    <xf numFmtId="164" fontId="6" fillId="6" borderId="1" xfId="0" applyFont="true" applyBorder="true" applyAlignment="true" applyProtection="true">
      <alignment horizontal="center" vertical="center" textRotation="0" wrapText="true" indent="0" shrinkToFit="false"/>
      <protection locked="false" hidden="false"/>
    </xf>
    <xf numFmtId="164" fontId="6" fillId="5" borderId="1" xfId="0" applyFont="true" applyBorder="true" applyAlignment="true" applyProtection="false">
      <alignment horizontal="center" vertical="center" textRotation="0" wrapText="true" indent="0" shrinkToFit="false"/>
      <protection locked="true" hidden="false"/>
    </xf>
    <xf numFmtId="164" fontId="8" fillId="8" borderId="1" xfId="0" applyFont="true" applyBorder="true" applyAlignment="true" applyProtection="false">
      <alignment horizontal="center" vertical="center" textRotation="0" wrapText="true" indent="0" shrinkToFit="false"/>
      <protection locked="true" hidden="false"/>
    </xf>
    <xf numFmtId="164" fontId="6" fillId="11" borderId="0" xfId="0" applyFont="true" applyBorder="false" applyAlignment="true" applyProtection="false">
      <alignment horizontal="center" vertical="center" textRotation="0" wrapText="true" indent="0" shrinkToFit="false"/>
      <protection locked="true" hidden="false"/>
    </xf>
    <xf numFmtId="164" fontId="6" fillId="6" borderId="12" xfId="0" applyFont="true" applyBorder="true" applyAlignment="true" applyProtection="true">
      <alignment horizontal="left" vertical="top" textRotation="0" wrapText="true" indent="0" shrinkToFit="false"/>
      <protection locked="false" hidden="false"/>
    </xf>
    <xf numFmtId="164" fontId="8" fillId="7" borderId="0" xfId="0" applyFont="true" applyBorder="false" applyAlignment="true" applyProtection="false">
      <alignment horizontal="center" vertical="center" textRotation="0" wrapText="true" indent="0" shrinkToFit="false"/>
      <protection locked="true" hidden="false"/>
    </xf>
    <xf numFmtId="164" fontId="8" fillId="4" borderId="0" xfId="0" applyFont="true" applyBorder="true" applyAlignment="true" applyProtection="false">
      <alignment horizontal="center" vertical="center" textRotation="0" wrapText="true" indent="0" shrinkToFit="false"/>
      <protection locked="true" hidden="false"/>
    </xf>
    <xf numFmtId="164" fontId="8" fillId="4" borderId="0" xfId="0" applyFont="true" applyBorder="false" applyAlignment="true" applyProtection="false">
      <alignment horizontal="center" vertical="center" textRotation="0" wrapText="true" indent="0" shrinkToFit="false"/>
      <protection locked="true" hidden="false"/>
    </xf>
    <xf numFmtId="164" fontId="8" fillId="4" borderId="1" xfId="0" applyFont="true" applyBorder="true" applyAlignment="true" applyProtection="false">
      <alignment horizontal="center" vertical="center" textRotation="0" wrapText="true" indent="0" shrinkToFit="false"/>
      <protection locked="true" hidden="false"/>
    </xf>
    <xf numFmtId="164" fontId="6" fillId="6" borderId="3" xfId="0" applyFont="true" applyBorder="true" applyAlignment="true" applyProtection="true">
      <alignment horizontal="center" vertical="center" textRotation="0" wrapText="true" indent="0" shrinkToFit="false"/>
      <protection locked="false" hidden="false"/>
    </xf>
    <xf numFmtId="164" fontId="6" fillId="14" borderId="40" xfId="0" applyFont="true" applyBorder="true" applyAlignment="true" applyProtection="false">
      <alignment horizontal="center" vertical="center" textRotation="0" wrapText="true" indent="0" shrinkToFit="false"/>
      <protection locked="true" hidden="false"/>
    </xf>
    <xf numFmtId="164" fontId="6" fillId="0" borderId="40" xfId="0" applyFont="true" applyBorder="true" applyAlignment="true" applyProtection="false">
      <alignment horizontal="left" vertical="top" textRotation="0" wrapText="true" indent="0" shrinkToFit="false"/>
      <protection locked="true" hidden="false"/>
    </xf>
    <xf numFmtId="164" fontId="6" fillId="2" borderId="40" xfId="0" applyFont="true" applyBorder="true" applyAlignment="true" applyProtection="false">
      <alignment horizontal="center" vertical="center" textRotation="0" wrapText="true" indent="0" shrinkToFit="false"/>
      <protection locked="true" hidden="false"/>
    </xf>
    <xf numFmtId="164" fontId="6" fillId="15" borderId="40" xfId="0" applyFont="true" applyBorder="true" applyAlignment="true" applyProtection="false">
      <alignment horizontal="center" vertical="center" textRotation="0" wrapText="true" indent="0" shrinkToFit="false"/>
      <protection locked="true" hidden="false"/>
    </xf>
    <xf numFmtId="164" fontId="6" fillId="0" borderId="40" xfId="0" applyFont="true" applyBorder="true" applyAlignment="true" applyProtection="false">
      <alignment horizontal="center" vertical="center" textRotation="0" wrapText="true" indent="0" shrinkToFit="false"/>
      <protection locked="true" hidden="false"/>
    </xf>
    <xf numFmtId="164" fontId="18" fillId="9" borderId="1" xfId="0" applyFont="true" applyBorder="true" applyAlignment="true" applyProtection="false">
      <alignment horizontal="left" vertical="center" textRotation="0" wrapText="true" indent="0" shrinkToFit="false"/>
      <protection locked="true" hidden="false"/>
    </xf>
    <xf numFmtId="164" fontId="8" fillId="8" borderId="5" xfId="0" applyFont="true" applyBorder="true" applyAlignment="true" applyProtection="false">
      <alignment horizontal="left" vertical="center" textRotation="0" wrapText="true" indent="0" shrinkToFit="false"/>
      <protection locked="true" hidden="false"/>
    </xf>
    <xf numFmtId="164" fontId="6" fillId="11" borderId="15" xfId="0" applyFont="true" applyBorder="true" applyAlignment="true" applyProtection="false">
      <alignment horizontal="center" vertical="center" textRotation="0" wrapText="true" indent="0" shrinkToFit="false"/>
      <protection locked="true" hidden="false"/>
    </xf>
    <xf numFmtId="164" fontId="6" fillId="11" borderId="1" xfId="0" applyFont="true" applyBorder="true" applyAlignment="true" applyProtection="false">
      <alignment horizontal="center" vertical="center" textRotation="0" wrapText="true" indent="0" shrinkToFit="false"/>
      <protection locked="true" hidden="false"/>
    </xf>
    <xf numFmtId="164" fontId="19" fillId="16" borderId="1" xfId="0" applyFont="true" applyBorder="true" applyAlignment="true" applyProtection="false">
      <alignment horizontal="left" vertical="center" textRotation="0" wrapText="true" indent="0" shrinkToFit="false"/>
      <protection locked="true" hidden="false"/>
    </xf>
    <xf numFmtId="164" fontId="6" fillId="6" borderId="13" xfId="0" applyFont="true" applyBorder="true" applyAlignment="true" applyProtection="true">
      <alignment horizontal="left" vertical="top" textRotation="0" wrapText="true" indent="0" shrinkToFit="false"/>
      <protection locked="false" hidden="false"/>
    </xf>
    <xf numFmtId="164" fontId="10" fillId="4" borderId="0"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true" applyAlignment="true" applyProtection="false">
      <alignment horizontal="general" vertical="center" textRotation="0" wrapText="true" indent="0" shrinkToFit="false"/>
      <protection locked="true" hidden="false"/>
    </xf>
    <xf numFmtId="164" fontId="8" fillId="3" borderId="0" xfId="0" applyFont="true" applyBorder="false" applyAlignment="true" applyProtection="false">
      <alignment horizontal="center" vertical="center" textRotation="0" wrapText="true" indent="0" shrinkToFit="false"/>
      <protection locked="true" hidden="false"/>
    </xf>
    <xf numFmtId="164" fontId="10" fillId="7" borderId="0" xfId="0" applyFont="true" applyBorder="true" applyAlignment="true" applyProtection="false">
      <alignment horizontal="left" vertical="top" textRotation="0" wrapText="true" indent="0" shrinkToFit="false"/>
      <protection locked="true" hidden="false"/>
    </xf>
    <xf numFmtId="164" fontId="0" fillId="7" borderId="0" xfId="0" applyFont="false" applyBorder="false" applyAlignment="true" applyProtection="false">
      <alignment horizontal="general" vertical="bottom" textRotation="0" wrapText="true" indent="0" shrinkToFit="false"/>
      <protection locked="true" hidden="false"/>
    </xf>
    <xf numFmtId="164" fontId="6" fillId="6" borderId="1" xfId="0" applyFont="true" applyBorder="true" applyAlignment="true" applyProtection="false">
      <alignment horizontal="left" vertical="top" textRotation="0" wrapText="true" indent="0" shrinkToFit="false"/>
      <protection locked="true" hidden="false"/>
    </xf>
    <xf numFmtId="164" fontId="6" fillId="6" borderId="1" xfId="0" applyFont="true" applyBorder="true" applyAlignment="true" applyProtection="false">
      <alignment horizontal="general" vertical="bottom" textRotation="0" wrapText="true" indent="0" shrinkToFit="false"/>
      <protection locked="true" hidden="false"/>
    </xf>
    <xf numFmtId="164" fontId="14" fillId="3" borderId="5" xfId="0" applyFont="true" applyBorder="true" applyAlignment="true" applyProtection="false">
      <alignment horizontal="left" vertical="center" textRotation="0" wrapText="true" indent="0" shrinkToFit="false"/>
      <protection locked="true" hidden="false"/>
    </xf>
    <xf numFmtId="164" fontId="14" fillId="3" borderId="12" xfId="0" applyFont="true" applyBorder="true" applyAlignment="true" applyProtection="false">
      <alignment horizontal="general" vertical="center" textRotation="0" wrapText="true" indent="0" shrinkToFit="false"/>
      <protection locked="true" hidden="false"/>
    </xf>
    <xf numFmtId="164" fontId="6" fillId="3" borderId="0" xfId="0" applyFont="true" applyBorder="true" applyAlignment="true" applyProtection="false">
      <alignment horizontal="center" vertical="bottom" textRotation="0" wrapText="true" indent="0" shrinkToFit="false"/>
      <protection locked="true" hidden="false"/>
    </xf>
    <xf numFmtId="164" fontId="8" fillId="4" borderId="15"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center" vertical="center" textRotation="0" wrapText="true" indent="0" shrinkToFit="false"/>
      <protection locked="true" hidden="false"/>
    </xf>
    <xf numFmtId="164" fontId="8" fillId="14" borderId="1" xfId="0" applyFont="true" applyBorder="true" applyAlignment="true" applyProtection="false">
      <alignment horizontal="general" vertical="bottom" textRotation="0" wrapText="true" indent="0" shrinkToFit="false"/>
      <protection locked="true" hidden="false"/>
    </xf>
    <xf numFmtId="164" fontId="6" fillId="17" borderId="3" xfId="0" applyFont="true" applyBorder="true" applyAlignment="true" applyProtection="false">
      <alignment horizontal="general" vertical="bottom" textRotation="0" wrapText="true" indent="0" shrinkToFit="false"/>
      <protection locked="true" hidden="false"/>
    </xf>
    <xf numFmtId="164" fontId="6" fillId="17" borderId="4" xfId="0" applyFont="true" applyBorder="true" applyAlignment="true" applyProtection="false">
      <alignment horizontal="general" vertical="bottom" textRotation="0" wrapText="true" indent="0" shrinkToFit="false"/>
      <protection locked="true" hidden="false"/>
    </xf>
    <xf numFmtId="164" fontId="6" fillId="17" borderId="2" xfId="0" applyFont="true" applyBorder="true" applyAlignment="true" applyProtection="false">
      <alignment horizontal="general" vertical="bottom" textRotation="0" wrapText="true" indent="0" shrinkToFit="false"/>
      <protection locked="true" hidden="false"/>
    </xf>
    <xf numFmtId="164" fontId="20" fillId="6" borderId="1" xfId="0" applyFont="true" applyBorder="true" applyAlignment="true" applyProtection="false">
      <alignment horizontal="left" vertical="center" textRotation="0" wrapText="true" indent="0" shrinkToFit="false"/>
      <protection locked="true" hidden="false"/>
    </xf>
    <xf numFmtId="165" fontId="6" fillId="6" borderId="1" xfId="0" applyFont="true" applyBorder="true" applyAlignment="true" applyProtection="true">
      <alignment horizontal="general" vertical="bottom" textRotation="0" wrapText="true" indent="0" shrinkToFit="false"/>
      <protection locked="false" hidden="false"/>
    </xf>
    <xf numFmtId="164" fontId="6" fillId="6" borderId="1" xfId="0" applyFont="true" applyBorder="true" applyAlignment="true" applyProtection="true">
      <alignment horizontal="left" vertical="top" textRotation="0" wrapText="true" indent="0" shrinkToFit="false"/>
      <protection locked="false" hidden="false"/>
    </xf>
    <xf numFmtId="164" fontId="14" fillId="3" borderId="12" xfId="0" applyFont="true" applyBorder="true" applyAlignment="true" applyProtection="false">
      <alignment horizontal="left" vertical="top" textRotation="0" wrapText="true" indent="0" shrinkToFit="false"/>
      <protection locked="true" hidden="false"/>
    </xf>
    <xf numFmtId="164" fontId="6" fillId="6" borderId="1" xfId="0" applyFont="true" applyBorder="true" applyAlignment="true" applyProtection="false">
      <alignment horizontal="left" vertical="center" textRotation="0" wrapText="true" indent="0" shrinkToFit="false"/>
      <protection locked="true" hidden="false"/>
    </xf>
    <xf numFmtId="164" fontId="6" fillId="17" borderId="2" xfId="0" applyFont="true" applyBorder="true" applyAlignment="true" applyProtection="false">
      <alignment horizontal="left" vertical="top" textRotation="0" wrapText="true" indent="0" shrinkToFit="false"/>
      <protection locked="true" hidden="false"/>
    </xf>
    <xf numFmtId="164" fontId="20" fillId="6" borderId="1" xfId="0" applyFont="true" applyBorder="true" applyAlignment="true" applyProtection="false">
      <alignment horizontal="general" vertical="center" textRotation="0" wrapText="true" indent="0" shrinkToFit="false"/>
      <protection locked="true" hidden="false"/>
    </xf>
    <xf numFmtId="164" fontId="6" fillId="6" borderId="1" xfId="0" applyFont="true" applyBorder="true" applyAlignment="true" applyProtection="true">
      <alignment horizontal="general" vertical="bottom" textRotation="0" wrapText="true" indent="0" shrinkToFit="false"/>
      <protection locked="false" hidden="false"/>
    </xf>
    <xf numFmtId="164" fontId="6" fillId="6" borderId="1" xfId="0" applyFont="true" applyBorder="true" applyAlignment="true" applyProtection="false">
      <alignment horizontal="general" vertical="center" textRotation="0" wrapText="true" indent="0" shrinkToFit="false"/>
      <protection locked="true" hidden="false"/>
    </xf>
    <xf numFmtId="164" fontId="21" fillId="0" borderId="0" xfId="0" applyFont="true" applyBorder="true" applyAlignment="true" applyProtection="false">
      <alignment horizontal="center" vertical="center" textRotation="0" wrapText="true" indent="0" shrinkToFit="false"/>
      <protection locked="true" hidden="false"/>
    </xf>
    <xf numFmtId="164" fontId="21" fillId="0" borderId="0" xfId="0" applyFont="true" applyBorder="true" applyAlignment="true" applyProtection="false">
      <alignment horizontal="center" vertical="bottom" textRotation="0" wrapText="true" indent="0" shrinkToFit="false"/>
      <protection locked="true" hidden="false"/>
    </xf>
    <xf numFmtId="164" fontId="8" fillId="7" borderId="0" xfId="0" applyFont="true" applyBorder="false" applyAlignment="true" applyProtection="false">
      <alignment horizontal="general" vertical="top" textRotation="0" wrapText="true" indent="0" shrinkToFit="false"/>
      <protection locked="true" hidden="false"/>
    </xf>
    <xf numFmtId="164" fontId="8" fillId="3" borderId="0" xfId="0" applyFont="true" applyBorder="false" applyAlignment="true" applyProtection="false">
      <alignment horizontal="general" vertical="top" textRotation="0" wrapText="true" indent="0" shrinkToFit="false"/>
      <protection locked="true" hidden="false"/>
    </xf>
    <xf numFmtId="165" fontId="6" fillId="6" borderId="1" xfId="0" applyFont="true" applyBorder="true" applyAlignment="true" applyProtection="false">
      <alignment horizontal="left" vertical="top" textRotation="0" wrapText="true" indent="0" shrinkToFit="false"/>
      <protection locked="true" hidden="false"/>
    </xf>
    <xf numFmtId="164" fontId="20" fillId="6" borderId="1" xfId="0" applyFont="true" applyBorder="true" applyAlignment="true" applyProtection="false">
      <alignment horizontal="general" vertical="top" textRotation="0" wrapText="true" indent="0" shrinkToFit="false"/>
      <protection locked="true" hidden="false"/>
    </xf>
    <xf numFmtId="165" fontId="6" fillId="6" borderId="1" xfId="0" applyFont="true" applyBorder="true" applyAlignment="true" applyProtection="false">
      <alignment horizontal="center" vertical="center" textRotation="0" wrapText="true" indent="0" shrinkToFit="false"/>
      <protection locked="true" hidden="false"/>
    </xf>
    <xf numFmtId="164" fontId="6" fillId="6" borderId="1" xfId="0" applyFont="true" applyBorder="true" applyAlignment="true" applyProtection="false">
      <alignment horizontal="center" vertical="center" textRotation="0" wrapText="true" indent="0" shrinkToFit="false"/>
      <protection locked="true" hidden="false"/>
    </xf>
    <xf numFmtId="164" fontId="14" fillId="0" borderId="12" xfId="0" applyFont="true" applyBorder="true" applyAlignment="true" applyProtection="false">
      <alignment horizontal="left" vertical="top" textRotation="0" wrapText="true" indent="0" shrinkToFit="false"/>
      <protection locked="true" hidden="false"/>
    </xf>
    <xf numFmtId="164" fontId="10" fillId="7" borderId="0" xfId="0" applyFont="true" applyBorder="true" applyAlignment="true" applyProtection="false">
      <alignment horizontal="left" vertical="center" textRotation="0" wrapText="true" indent="0" shrinkToFit="false"/>
      <protection locked="true" hidden="false"/>
    </xf>
    <xf numFmtId="164" fontId="6" fillId="0" borderId="0" xfId="0" applyFont="true" applyBorder="true" applyAlignment="true" applyProtection="false">
      <alignment horizontal="left" vertical="top" textRotation="0" wrapText="true" indent="0" shrinkToFit="false"/>
      <protection locked="true" hidden="false"/>
    </xf>
    <xf numFmtId="164" fontId="8" fillId="4" borderId="3" xfId="0" applyFont="true" applyBorder="true" applyAlignment="true" applyProtection="false">
      <alignment horizontal="center" vertical="center" textRotation="0" wrapText="true" indent="0" shrinkToFit="false"/>
      <protection locked="true" hidden="false"/>
    </xf>
    <xf numFmtId="164" fontId="6" fillId="0" borderId="14" xfId="0" applyFont="true" applyBorder="true" applyAlignment="true" applyProtection="false">
      <alignment horizontal="general" vertical="bottom" textRotation="0" wrapText="true" indent="0" shrinkToFit="false"/>
      <protection locked="true" hidden="false"/>
    </xf>
    <xf numFmtId="164" fontId="6" fillId="0" borderId="9" xfId="0" applyFont="true" applyBorder="true" applyAlignment="true" applyProtection="false">
      <alignment horizontal="general" vertical="bottom" textRotation="0" wrapText="true" indent="0" shrinkToFit="false"/>
      <protection locked="true" hidden="false"/>
    </xf>
    <xf numFmtId="164" fontId="6" fillId="0" borderId="10" xfId="0" applyFont="true" applyBorder="true" applyAlignment="true" applyProtection="false">
      <alignment horizontal="general" vertical="bottom" textRotation="0" wrapText="true" indent="0" shrinkToFit="false"/>
      <protection locked="true" hidden="false"/>
    </xf>
    <xf numFmtId="164" fontId="6" fillId="6" borderId="1" xfId="0" applyFont="true" applyBorder="true" applyAlignment="true" applyProtection="false">
      <alignment horizontal="center" vertical="top" textRotation="0" wrapText="true" indent="0" shrinkToFit="false"/>
      <protection locked="true" hidden="false"/>
    </xf>
    <xf numFmtId="164" fontId="6" fillId="0" borderId="0" xfId="0" applyFont="true" applyBorder="false" applyAlignment="true" applyProtection="true">
      <alignment horizontal="left" vertical="center" textRotation="0" wrapText="true" indent="0" shrinkToFit="false"/>
      <protection locked="true" hidden="false"/>
    </xf>
    <xf numFmtId="164" fontId="6" fillId="0" borderId="0" xfId="0" applyFont="true" applyBorder="false" applyAlignment="false" applyProtection="true">
      <alignment horizontal="general" vertical="bottom" textRotation="0" wrapText="false" indent="0" shrinkToFit="false"/>
      <protection locked="true" hidden="false"/>
    </xf>
    <xf numFmtId="164" fontId="22" fillId="0" borderId="0" xfId="0" applyFont="true" applyBorder="true" applyAlignment="true" applyProtection="true">
      <alignment horizontal="general" vertical="bottom" textRotation="0" wrapText="true" indent="0" shrinkToFit="false"/>
      <protection locked="true" hidden="false"/>
    </xf>
    <xf numFmtId="164" fontId="23" fillId="18" borderId="0" xfId="0" applyFont="true" applyBorder="false" applyAlignment="true" applyProtection="true">
      <alignment horizontal="left" vertical="center" textRotation="0" wrapText="true" indent="0" shrinkToFit="false"/>
      <protection locked="true" hidden="false"/>
    </xf>
    <xf numFmtId="164" fontId="24" fillId="0" borderId="0" xfId="0" applyFont="true" applyBorder="true" applyAlignment="true" applyProtection="true">
      <alignment horizontal="general" vertical="bottom" textRotation="0" wrapText="true" indent="0" shrinkToFit="false"/>
      <protection locked="true" hidden="false"/>
    </xf>
    <xf numFmtId="164" fontId="25" fillId="0" borderId="0" xfId="0" applyFont="true" applyBorder="true" applyAlignment="true" applyProtection="false">
      <alignment horizontal="general" vertical="bottom" textRotation="0" wrapText="false" indent="0" shrinkToFit="false"/>
      <protection locked="true" hidden="false"/>
    </xf>
    <xf numFmtId="164" fontId="25" fillId="0" borderId="0" xfId="0" applyFont="true" applyBorder="true" applyAlignment="true" applyProtection="false">
      <alignment horizontal="general" vertical="bottom" textRotation="0" wrapText="true" indent="0" shrinkToFit="false"/>
      <protection locked="true" hidden="false"/>
    </xf>
    <xf numFmtId="171" fontId="26" fillId="0" borderId="0" xfId="21" applyFont="true" applyBorder="true" applyAlignment="true" applyProtection="true">
      <alignment horizontal="left" vertical="center" textRotation="0" wrapText="true" indent="0" shrinkToFit="false"/>
      <protection locked="true" hidden="false"/>
    </xf>
    <xf numFmtId="164" fontId="23" fillId="0" borderId="0" xfId="0" applyFont="true" applyBorder="false" applyAlignment="true" applyProtection="true">
      <alignment horizontal="left" vertical="center" textRotation="0" wrapText="true" indent="0" shrinkToFit="false"/>
      <protection locked="true" hidden="false"/>
    </xf>
    <xf numFmtId="165" fontId="6" fillId="0" borderId="0" xfId="0" applyFont="true" applyBorder="false" applyAlignment="true" applyProtection="true">
      <alignment horizontal="general" vertical="center" textRotation="0" wrapText="false" indent="0" shrinkToFit="false"/>
      <protection locked="true" hidden="false"/>
    </xf>
    <xf numFmtId="170" fontId="26" fillId="0" borderId="0" xfId="21" applyFont="true" applyBorder="true" applyAlignment="true" applyProtection="true">
      <alignment horizontal="general" vertical="bottom" textRotation="0" wrapText="false" indent="0" shrinkToFit="false"/>
      <protection locked="true" hidden="false"/>
    </xf>
    <xf numFmtId="165" fontId="6" fillId="0" borderId="41" xfId="0" applyFont="true" applyBorder="true" applyAlignment="true" applyProtection="true">
      <alignment horizontal="left" vertical="center" textRotation="0" wrapText="true" indent="0" shrinkToFit="false"/>
      <protection locked="true" hidden="false"/>
    </xf>
    <xf numFmtId="164" fontId="6" fillId="0" borderId="42" xfId="0" applyFont="true" applyBorder="true" applyAlignment="true" applyProtection="true">
      <alignment horizontal="left" vertical="center" textRotation="0" wrapText="true" indent="0" shrinkToFit="false"/>
      <protection locked="true" hidden="false"/>
    </xf>
    <xf numFmtId="164" fontId="27" fillId="0" borderId="0" xfId="0" applyFont="true" applyBorder="true" applyAlignment="true" applyProtection="false">
      <alignment horizontal="general" vertical="bottom" textRotation="0" wrapText="false" indent="0" shrinkToFit="false"/>
      <protection locked="true" hidden="false"/>
    </xf>
    <xf numFmtId="164" fontId="6" fillId="0" borderId="0" xfId="0" applyFont="true" applyBorder="true" applyAlignment="true" applyProtection="true">
      <alignment horizontal="left" vertical="center" textRotation="0" wrapText="true" indent="0" shrinkToFit="false"/>
      <protection locked="true" hidden="false"/>
    </xf>
    <xf numFmtId="165" fontId="6" fillId="0" borderId="43" xfId="0" applyFont="true" applyBorder="true" applyAlignment="true" applyProtection="true">
      <alignment horizontal="left" vertical="center" textRotation="0" wrapText="true" indent="0" shrinkToFit="false"/>
      <protection locked="true" hidden="false"/>
    </xf>
    <xf numFmtId="164" fontId="6" fillId="0" borderId="44" xfId="0" applyFont="true" applyBorder="true" applyAlignment="true" applyProtection="true">
      <alignment horizontal="left" vertical="center" textRotation="0" wrapText="true" indent="0" shrinkToFit="false"/>
      <protection locked="true" hidden="false"/>
    </xf>
    <xf numFmtId="164" fontId="26" fillId="0" borderId="0" xfId="0" applyFont="true" applyBorder="false" applyAlignment="true" applyProtection="true">
      <alignment horizontal="left" vertical="center" textRotation="0" wrapText="true" indent="0" shrinkToFit="false"/>
      <protection locked="true" hidden="false"/>
    </xf>
    <xf numFmtId="165" fontId="6" fillId="0" borderId="45" xfId="0" applyFont="true" applyBorder="true" applyAlignment="true" applyProtection="true">
      <alignment horizontal="left" vertical="center" textRotation="0" wrapText="true" indent="0" shrinkToFit="false"/>
      <protection locked="true" hidden="false"/>
    </xf>
    <xf numFmtId="164" fontId="6" fillId="0" borderId="46" xfId="0" applyFont="true" applyBorder="true" applyAlignment="true" applyProtection="true">
      <alignment horizontal="left" vertical="center" textRotation="0" wrapText="tru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5" fontId="22" fillId="0" borderId="0" xfId="0" applyFont="true" applyBorder="true" applyAlignment="true" applyProtection="true">
      <alignment horizontal="general" vertical="bottom" textRotation="0" wrapText="true" indent="0" shrinkToFit="false"/>
      <protection locked="true" hidden="false"/>
    </xf>
    <xf numFmtId="164" fontId="29" fillId="0" borderId="0" xfId="0" applyFont="true" applyBorder="false" applyAlignment="true" applyProtection="true">
      <alignment horizontal="left" vertical="center" textRotation="0" wrapText="true" indent="0" shrinkToFit="false"/>
      <protection locked="true" hidden="false"/>
    </xf>
    <xf numFmtId="164" fontId="6" fillId="0" borderId="0" xfId="0" applyFont="true" applyBorder="true" applyAlignment="true" applyProtection="true">
      <alignment horizontal="general" vertical="center" textRotation="0" wrapText="true" indent="0" shrinkToFit="false"/>
      <protection locked="true" hidden="false"/>
    </xf>
    <xf numFmtId="165" fontId="6" fillId="0" borderId="0" xfId="0" applyFont="true" applyBorder="false" applyAlignment="true" applyProtection="true">
      <alignment horizontal="general" vertical="center" textRotation="0" wrapText="true" indent="0" shrinkToFit="false"/>
      <protection locked="true" hidden="false"/>
    </xf>
    <xf numFmtId="165" fontId="6" fillId="0" borderId="0" xfId="0" applyFont="true" applyBorder="false" applyAlignment="true" applyProtection="true">
      <alignment horizontal="left" vertical="center" textRotation="0" wrapText="true" indent="0" shrinkToFit="false"/>
      <protection locked="true" hidden="false"/>
    </xf>
    <xf numFmtId="164" fontId="6" fillId="0" borderId="0" xfId="0" applyFont="true" applyBorder="false" applyAlignment="true" applyProtection="true">
      <alignment horizontal="general" vertical="center" textRotation="0" wrapText="tru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center" textRotation="0" wrapText="tru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0" fillId="9"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top" textRotation="0" wrapText="false" indent="0" shrinkToFit="false"/>
      <protection locked="true" hidden="false"/>
    </xf>
    <xf numFmtId="164" fontId="12" fillId="0" borderId="47" xfId="0" applyFont="true" applyBorder="true" applyAlignment="true" applyProtection="false">
      <alignment horizontal="center" vertical="top" textRotation="0" wrapText="true" indent="0" shrinkToFit="false"/>
      <protection locked="true" hidden="false"/>
    </xf>
    <xf numFmtId="164" fontId="5" fillId="0" borderId="0" xfId="0" applyFont="true" applyBorder="false" applyAlignment="true" applyProtection="false">
      <alignment horizontal="left" vertical="top" textRotation="0" wrapText="false" indent="0" shrinkToFit="false"/>
      <protection locked="true" hidden="false"/>
    </xf>
    <xf numFmtId="164" fontId="0" fillId="0" borderId="0" xfId="0" applyFont="true" applyBorder="true" applyAlignment="true" applyProtection="false">
      <alignment horizontal="center" vertical="top" textRotation="0" wrapText="true" indent="0" shrinkToFit="false"/>
      <protection locked="true" hidden="false"/>
    </xf>
    <xf numFmtId="164" fontId="5" fillId="0" borderId="0" xfId="0" applyFont="true" applyBorder="false" applyAlignment="true" applyProtection="false">
      <alignment horizontal="left" vertical="top" textRotation="0" wrapText="true" indent="0" shrinkToFit="false"/>
      <protection locked="true" hidden="false"/>
    </xf>
    <xf numFmtId="164" fontId="0" fillId="0" borderId="0" xfId="0" applyFont="true" applyBorder="true" applyAlignment="true" applyProtection="false">
      <alignment horizontal="left" vertical="top" textRotation="0" wrapText="true" indent="0" shrinkToFit="false"/>
      <protection locked="true" hidden="false"/>
    </xf>
    <xf numFmtId="164" fontId="0" fillId="0" borderId="0" xfId="0" applyFont="false" applyBorder="false" applyAlignment="true" applyProtection="false">
      <alignment horizontal="left"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9">
    <dxf/>
    <dxf/>
    <dxf/>
    <dxf/>
    <dxf/>
    <dxf/>
    <dxf/>
    <dxf/>
    <dxf>
      <font>
        <color rgb="FFFFFFFF"/>
      </font>
      <fill>
        <patternFill>
          <bgColor rgb="FFFF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DAE3F3"/>
      <rgbColor rgb="FFCCE4E0"/>
      <rgbColor rgb="FFFFFF99"/>
      <rgbColor rgb="FF87BFB6"/>
      <rgbColor rgb="FFFF99CC"/>
      <rgbColor rgb="FFCC99FF"/>
      <rgbColor rgb="FFC5E0B4"/>
      <rgbColor rgb="FF2F5597"/>
      <rgbColor rgb="FF33CCCC"/>
      <rgbColor rgb="FF99CC00"/>
      <rgbColor rgb="FFFFC000"/>
      <rgbColor rgb="FFFF9900"/>
      <rgbColor rgb="FFFF6600"/>
      <rgbColor rgb="FF44546A"/>
      <rgbColor rgb="FFA6A6A6"/>
      <rgbColor rgb="FF203864"/>
      <rgbColor rgb="FF00B050"/>
      <rgbColor rgb="FF003300"/>
      <rgbColor rgb="FF333300"/>
      <rgbColor rgb="FF993300"/>
      <rgbColor rgb="FF993366"/>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_rels/drawing2.xml.rels><?xml version="1.0" encoding="UTF-8"?>
<Relationships xmlns="http://schemas.openxmlformats.org/package/2006/relationships"><Relationship Id="rId1" Type="http://schemas.openxmlformats.org/officeDocument/2006/relationships/image" Target="../media/image2.jpeg"/>
</Relationships>
</file>

<file path=xl/drawings/_rels/drawing3.xml.rels><?xml version="1.0" encoding="UTF-8"?>
<Relationships xmlns="http://schemas.openxmlformats.org/package/2006/relationships"><Relationship Id="rId1" Type="http://schemas.openxmlformats.org/officeDocument/2006/relationships/image" Target="../media/image3.jpeg"/>
</Relationships>
</file>

<file path=xl/drawings/_rels/drawing4.xml.rels><?xml version="1.0" encoding="UTF-8"?>
<Relationships xmlns="http://schemas.openxmlformats.org/package/2006/relationships"><Relationship Id="rId1" Type="http://schemas.openxmlformats.org/officeDocument/2006/relationships/image" Target="../media/image4.jpeg"/>
</Relationships>
</file>

<file path=xl/drawings/_rels/drawing5.xml.rels><?xml version="1.0" encoding="UTF-8"?>
<Relationships xmlns="http://schemas.openxmlformats.org/package/2006/relationships"><Relationship Id="rId1"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322200</xdr:colOff>
      <xdr:row>0</xdr:row>
      <xdr:rowOff>83880</xdr:rowOff>
    </xdr:from>
    <xdr:to>
      <xdr:col>0</xdr:col>
      <xdr:colOff>1879200</xdr:colOff>
      <xdr:row>0</xdr:row>
      <xdr:rowOff>1031040</xdr:rowOff>
    </xdr:to>
    <xdr:pic>
      <xdr:nvPicPr>
        <xdr:cNvPr id="0" name="Picture 1" descr=""/>
        <xdr:cNvPicPr/>
      </xdr:nvPicPr>
      <xdr:blipFill>
        <a:blip r:embed="rId1"/>
        <a:stretch/>
      </xdr:blipFill>
      <xdr:spPr>
        <a:xfrm>
          <a:off x="322200" y="83880"/>
          <a:ext cx="1557000" cy="9471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1557000</xdr:colOff>
      <xdr:row>0</xdr:row>
      <xdr:rowOff>994320</xdr:rowOff>
    </xdr:to>
    <xdr:pic>
      <xdr:nvPicPr>
        <xdr:cNvPr id="1" name="Picture 1" descr=""/>
        <xdr:cNvPicPr/>
      </xdr:nvPicPr>
      <xdr:blipFill>
        <a:blip r:embed="rId1"/>
        <a:stretch/>
      </xdr:blipFill>
      <xdr:spPr>
        <a:xfrm>
          <a:off x="0" y="0"/>
          <a:ext cx="1557000" cy="99432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1546560</xdr:colOff>
      <xdr:row>0</xdr:row>
      <xdr:rowOff>956880</xdr:rowOff>
    </xdr:to>
    <xdr:pic>
      <xdr:nvPicPr>
        <xdr:cNvPr id="2" name="Picture 1" descr=""/>
        <xdr:cNvPicPr/>
      </xdr:nvPicPr>
      <xdr:blipFill>
        <a:blip r:embed="rId1"/>
        <a:stretch/>
      </xdr:blipFill>
      <xdr:spPr>
        <a:xfrm>
          <a:off x="0" y="0"/>
          <a:ext cx="1546560" cy="95688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1557000</xdr:colOff>
      <xdr:row>0</xdr:row>
      <xdr:rowOff>956880</xdr:rowOff>
    </xdr:to>
    <xdr:pic>
      <xdr:nvPicPr>
        <xdr:cNvPr id="3" name="Picture 1" descr=""/>
        <xdr:cNvPicPr/>
      </xdr:nvPicPr>
      <xdr:blipFill>
        <a:blip r:embed="rId1"/>
        <a:stretch/>
      </xdr:blipFill>
      <xdr:spPr>
        <a:xfrm>
          <a:off x="0" y="0"/>
          <a:ext cx="1557000" cy="95688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0</xdr:col>
      <xdr:colOff>1557000</xdr:colOff>
      <xdr:row>0</xdr:row>
      <xdr:rowOff>956880</xdr:rowOff>
    </xdr:to>
    <xdr:pic>
      <xdr:nvPicPr>
        <xdr:cNvPr id="4" name="Picture 1" descr=""/>
        <xdr:cNvPicPr/>
      </xdr:nvPicPr>
      <xdr:blipFill>
        <a:blip r:embed="rId1"/>
        <a:stretch/>
      </xdr:blipFill>
      <xdr:spPr>
        <a:xfrm>
          <a:off x="0" y="0"/>
          <a:ext cx="1557000" cy="956880"/>
        </a:xfrm>
        <a:prstGeom prst="rect">
          <a:avLst/>
        </a:prstGeom>
        <a:ln>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smb://Dfs52620.link2.gpn.gov.uk/10027568$/Users/Benjamin.Harris/Desktop/GMPP%20mk2%20return.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s>
    <sheetDataSet>
      <sheetData sheetId="0"/>
      <sheetData sheetId="1"/>
      <sheetData sheetId="2"/>
      <sheetData sheetId="3"/>
      <sheetData sheetId="4"/>
      <sheetData sheetId="5"/>
    </sheetDataSet>
  </externalBook>
</externalLink>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hyperlink" Target="https://www.gov.uk/government/publications/procurement-policy-note-1615-procuring-steel-in-major-projects" TargetMode="External"/><Relationship Id="rId2"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hyperlink" Target="javascript:submitAction_win0(document.win0,&apos;DIVISION$0&apos;);" TargetMode="Externa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L49"/>
  <sheetViews>
    <sheetView showFormulas="false" showGridLines="true" showRowColHeaders="true" showZeros="true" rightToLeft="false" tabSelected="false" showOutlineSymbols="true" defaultGridColor="true" view="pageBreakPreview" topLeftCell="A49" colorId="64" zoomScale="68" zoomScaleNormal="62" zoomScalePageLayoutView="68" workbookViewId="0">
      <selection pane="topLeft" activeCell="C44" activeCellId="0" sqref="C44"/>
    </sheetView>
  </sheetViews>
  <sheetFormatPr defaultRowHeight="15" outlineLevelRow="0" outlineLevelCol="0"/>
  <cols>
    <col collapsed="false" customWidth="true" hidden="false" outlineLevel="0" max="1" min="1" style="1" width="26.44"/>
    <col collapsed="false" customWidth="true" hidden="false" outlineLevel="0" max="2" min="2" style="1" width="20.11"/>
    <col collapsed="false" customWidth="true" hidden="false" outlineLevel="0" max="3" min="3" style="1" width="29.77"/>
    <col collapsed="false" customWidth="true" hidden="false" outlineLevel="0" max="5" min="4" style="1" width="9.22"/>
    <col collapsed="false" customWidth="true" hidden="false" outlineLevel="0" max="6" min="6" style="1" width="28.11"/>
    <col collapsed="false" customWidth="true" hidden="false" outlineLevel="0" max="7" min="7" style="1" width="23.67"/>
    <col collapsed="false" customWidth="true" hidden="false" outlineLevel="0" max="8" min="8" style="1" width="28.11"/>
    <col collapsed="false" customWidth="true" hidden="false" outlineLevel="0" max="9" min="9" style="1" width="23.67"/>
    <col collapsed="false" customWidth="true" hidden="false" outlineLevel="0" max="11" min="10" style="1" width="8.56"/>
    <col collapsed="false" customWidth="true" hidden="false" outlineLevel="0" max="12" min="12" style="1" width="21.78"/>
    <col collapsed="false" customWidth="true" hidden="false" outlineLevel="0" max="1025" min="13" style="1" width="8.56"/>
  </cols>
  <sheetData>
    <row r="1" customFormat="false" ht="93" hidden="false" customHeight="true" outlineLevel="0" collapsed="false">
      <c r="A1" s="2" t="s">
        <v>0</v>
      </c>
      <c r="B1" s="2"/>
      <c r="C1" s="2"/>
      <c r="D1" s="2"/>
      <c r="E1" s="2"/>
      <c r="F1" s="2"/>
      <c r="G1" s="2"/>
      <c r="H1" s="2"/>
      <c r="I1" s="3" t="s">
        <v>1</v>
      </c>
      <c r="J1" s="4"/>
      <c r="K1" s="4"/>
      <c r="L1" s="5"/>
    </row>
    <row r="2" customFormat="false" ht="28.5" hidden="false" customHeight="true" outlineLevel="0" collapsed="false">
      <c r="A2" s="6" t="s">
        <v>2</v>
      </c>
      <c r="B2" s="6"/>
      <c r="C2" s="6"/>
      <c r="D2" s="6"/>
      <c r="E2" s="6"/>
      <c r="F2" s="7"/>
      <c r="G2" s="7"/>
      <c r="H2" s="7"/>
      <c r="I2" s="5"/>
      <c r="J2" s="4"/>
      <c r="K2" s="4"/>
      <c r="L2" s="5"/>
    </row>
    <row r="3" customFormat="false" ht="21" hidden="false" customHeight="true" outlineLevel="0" collapsed="false">
      <c r="A3" s="7" t="s">
        <v>3</v>
      </c>
      <c r="B3" s="5"/>
      <c r="C3" s="5"/>
      <c r="D3" s="5"/>
      <c r="E3" s="5"/>
      <c r="F3" s="8" t="s">
        <v>4</v>
      </c>
      <c r="G3" s="9"/>
      <c r="H3" s="8" t="s">
        <v>5</v>
      </c>
      <c r="I3" s="9"/>
      <c r="J3" s="4"/>
      <c r="K3" s="4"/>
      <c r="L3" s="5"/>
    </row>
    <row r="4" customFormat="false" ht="15" hidden="false" customHeight="false" outlineLevel="0" collapsed="false">
      <c r="A4" s="10"/>
      <c r="B4" s="10"/>
      <c r="C4" s="10"/>
      <c r="D4" s="10"/>
      <c r="E4" s="10"/>
      <c r="F4" s="11"/>
      <c r="G4" s="12"/>
      <c r="H4" s="12"/>
      <c r="I4" s="10"/>
      <c r="J4" s="10"/>
      <c r="K4" s="10"/>
      <c r="L4" s="5"/>
    </row>
    <row r="5" s="19" customFormat="true" ht="15.75" hidden="false" customHeight="false" outlineLevel="0" collapsed="false">
      <c r="A5" s="13" t="s">
        <v>6</v>
      </c>
      <c r="B5" s="14"/>
      <c r="C5" s="14"/>
      <c r="D5" s="15"/>
      <c r="E5" s="15"/>
      <c r="F5" s="16" t="s">
        <v>7</v>
      </c>
      <c r="G5" s="17"/>
      <c r="H5" s="16" t="s">
        <v>8</v>
      </c>
      <c r="I5" s="18"/>
      <c r="J5" s="10"/>
      <c r="K5" s="10"/>
      <c r="L5" s="4"/>
    </row>
    <row r="6" s="19" customFormat="true" ht="15.75" hidden="false" customHeight="false" outlineLevel="0" collapsed="false">
      <c r="A6" s="13" t="s">
        <v>9</v>
      </c>
      <c r="B6" s="14"/>
      <c r="C6" s="14"/>
      <c r="D6" s="10"/>
      <c r="E6" s="10"/>
      <c r="F6" s="16" t="s">
        <v>10</v>
      </c>
      <c r="G6" s="18"/>
      <c r="H6" s="16" t="s">
        <v>11</v>
      </c>
      <c r="I6" s="18"/>
      <c r="J6" s="10"/>
      <c r="K6" s="10"/>
      <c r="L6" s="4"/>
    </row>
    <row r="7" s="19" customFormat="true" ht="6.75" hidden="false" customHeight="true" outlineLevel="0" collapsed="false">
      <c r="A7" s="20"/>
      <c r="B7" s="20"/>
      <c r="C7" s="20"/>
      <c r="D7" s="10"/>
      <c r="E7" s="10"/>
      <c r="F7" s="10"/>
      <c r="G7" s="10"/>
      <c r="H7" s="10"/>
      <c r="I7" s="10"/>
      <c r="J7" s="10"/>
      <c r="K7" s="10"/>
      <c r="L7" s="4"/>
    </row>
    <row r="8" s="19" customFormat="true" ht="15.75" hidden="false" customHeight="true" outlineLevel="0" collapsed="false">
      <c r="A8" s="13" t="s">
        <v>12</v>
      </c>
      <c r="B8" s="21"/>
      <c r="C8" s="21"/>
      <c r="D8" s="10"/>
      <c r="E8" s="10"/>
      <c r="F8" s="22" t="s">
        <v>13</v>
      </c>
      <c r="G8" s="23" t="s">
        <v>14</v>
      </c>
      <c r="H8" s="21"/>
      <c r="I8" s="21"/>
      <c r="J8" s="10"/>
      <c r="K8" s="10"/>
      <c r="L8" s="4"/>
    </row>
    <row r="9" s="19" customFormat="true" ht="15.75" hidden="false" customHeight="false" outlineLevel="0" collapsed="false">
      <c r="A9" s="13" t="s">
        <v>15</v>
      </c>
      <c r="B9" s="21"/>
      <c r="C9" s="21"/>
      <c r="D9" s="10"/>
      <c r="E9" s="10"/>
      <c r="F9" s="22"/>
      <c r="G9" s="23" t="s">
        <v>16</v>
      </c>
      <c r="H9" s="21"/>
      <c r="I9" s="21"/>
      <c r="J9" s="10"/>
      <c r="K9" s="10"/>
      <c r="L9" s="4"/>
    </row>
    <row r="10" s="19" customFormat="true" ht="15.75" hidden="false" customHeight="false" outlineLevel="0" collapsed="false">
      <c r="A10" s="13" t="s">
        <v>17</v>
      </c>
      <c r="B10" s="21"/>
      <c r="C10" s="21"/>
      <c r="D10" s="10"/>
      <c r="E10" s="10"/>
      <c r="F10" s="22"/>
      <c r="G10" s="23" t="s">
        <v>18</v>
      </c>
      <c r="H10" s="21"/>
      <c r="I10" s="21"/>
      <c r="J10" s="10"/>
      <c r="K10" s="10"/>
      <c r="L10" s="4"/>
    </row>
    <row r="11" s="19" customFormat="true" ht="15" hidden="false" customHeight="false" outlineLevel="0" collapsed="false">
      <c r="A11" s="10"/>
      <c r="B11" s="10"/>
      <c r="C11" s="10"/>
      <c r="D11" s="10"/>
      <c r="E11" s="10"/>
      <c r="F11" s="10"/>
      <c r="G11" s="10"/>
      <c r="H11" s="10"/>
      <c r="I11" s="10"/>
      <c r="J11" s="10"/>
      <c r="K11" s="10"/>
      <c r="L11" s="4"/>
    </row>
    <row r="12" s="19" customFormat="true" ht="30.2" hidden="false" customHeight="true" outlineLevel="0" collapsed="false">
      <c r="A12" s="22" t="s">
        <v>19</v>
      </c>
      <c r="B12" s="13" t="s">
        <v>14</v>
      </c>
      <c r="C12" s="21"/>
      <c r="D12" s="10"/>
      <c r="E12" s="10"/>
      <c r="F12" s="22" t="s">
        <v>20</v>
      </c>
      <c r="G12" s="13" t="s">
        <v>14</v>
      </c>
      <c r="H12" s="24"/>
      <c r="I12" s="22" t="s">
        <v>21</v>
      </c>
      <c r="J12" s="25"/>
      <c r="K12" s="25"/>
      <c r="L12" s="4"/>
    </row>
    <row r="13" s="19" customFormat="true" ht="30.2" hidden="false" customHeight="true" outlineLevel="0" collapsed="false">
      <c r="A13" s="22"/>
      <c r="B13" s="13" t="s">
        <v>22</v>
      </c>
      <c r="C13" s="21"/>
      <c r="D13" s="10"/>
      <c r="E13" s="10"/>
      <c r="F13" s="22"/>
      <c r="G13" s="13" t="s">
        <v>22</v>
      </c>
      <c r="H13" s="24"/>
      <c r="I13" s="22"/>
      <c r="J13" s="25"/>
      <c r="K13" s="25"/>
      <c r="L13" s="4"/>
    </row>
    <row r="14" s="19" customFormat="true" ht="30.2" hidden="false" customHeight="true" outlineLevel="0" collapsed="false">
      <c r="A14" s="22"/>
      <c r="B14" s="13" t="s">
        <v>18</v>
      </c>
      <c r="C14" s="21"/>
      <c r="D14" s="10"/>
      <c r="E14" s="10"/>
      <c r="F14" s="22"/>
      <c r="G14" s="13" t="s">
        <v>18</v>
      </c>
      <c r="H14" s="24"/>
      <c r="I14" s="10"/>
      <c r="J14" s="10"/>
      <c r="K14" s="10"/>
      <c r="L14" s="4"/>
    </row>
    <row r="15" s="19" customFormat="true" ht="30.2" hidden="false" customHeight="true" outlineLevel="0" collapsed="false">
      <c r="A15" s="22"/>
      <c r="B15" s="13" t="s">
        <v>23</v>
      </c>
      <c r="C15" s="26"/>
      <c r="D15" s="10"/>
      <c r="E15" s="10"/>
      <c r="F15" s="22"/>
      <c r="G15" s="13" t="s">
        <v>24</v>
      </c>
      <c r="H15" s="26"/>
      <c r="I15" s="10"/>
      <c r="J15" s="10"/>
      <c r="K15" s="10"/>
      <c r="L15" s="4"/>
    </row>
    <row r="16" s="19" customFormat="true" ht="30.2" hidden="false" customHeight="true" outlineLevel="0" collapsed="false">
      <c r="A16" s="22"/>
      <c r="B16" s="13" t="s">
        <v>25</v>
      </c>
      <c r="C16" s="26"/>
      <c r="D16" s="10"/>
      <c r="E16" s="10"/>
      <c r="F16" s="22"/>
      <c r="G16" s="13" t="s">
        <v>26</v>
      </c>
      <c r="H16" s="26"/>
      <c r="I16" s="10"/>
      <c r="J16" s="10"/>
      <c r="K16" s="10"/>
      <c r="L16" s="4"/>
    </row>
    <row r="17" s="19" customFormat="true" ht="30.2" hidden="false" customHeight="true" outlineLevel="0" collapsed="false">
      <c r="A17" s="22"/>
      <c r="B17" s="13" t="s">
        <v>27</v>
      </c>
      <c r="C17" s="26"/>
      <c r="D17" s="10"/>
      <c r="E17" s="10"/>
      <c r="F17" s="22"/>
      <c r="G17" s="13" t="s">
        <v>28</v>
      </c>
      <c r="H17" s="26"/>
      <c r="I17" s="27"/>
      <c r="J17" s="10"/>
      <c r="K17" s="10"/>
      <c r="L17" s="4"/>
    </row>
    <row r="18" s="19" customFormat="true" ht="30.2" hidden="false" customHeight="true" outlineLevel="0" collapsed="false">
      <c r="A18" s="22"/>
      <c r="B18" s="13" t="s">
        <v>29</v>
      </c>
      <c r="C18" s="28"/>
      <c r="D18" s="10"/>
      <c r="E18" s="10"/>
      <c r="F18" s="22"/>
      <c r="G18" s="13" t="s">
        <v>30</v>
      </c>
      <c r="H18" s="29"/>
      <c r="I18" s="10"/>
      <c r="J18" s="10"/>
      <c r="K18" s="10"/>
      <c r="L18" s="4"/>
    </row>
    <row r="19" s="19" customFormat="true" ht="30.2" hidden="false" customHeight="true" outlineLevel="0" collapsed="false">
      <c r="A19" s="22"/>
      <c r="B19" s="13" t="s">
        <v>31</v>
      </c>
      <c r="C19" s="21"/>
      <c r="D19" s="30" t="str">
        <f aca="false">IF(C19="Yes","Please provide reason for change","")</f>
        <v/>
      </c>
      <c r="E19" s="30"/>
      <c r="F19" s="22"/>
      <c r="G19" s="13" t="s">
        <v>32</v>
      </c>
      <c r="H19" s="24"/>
      <c r="I19" s="31" t="str">
        <f aca="false">IF(H19="Yes","Please provide reason for change","")</f>
        <v/>
      </c>
      <c r="J19" s="10"/>
      <c r="K19" s="10"/>
      <c r="L19" s="4"/>
    </row>
    <row r="20" s="19" customFormat="true" ht="30.2" hidden="false" customHeight="true" outlineLevel="0" collapsed="false">
      <c r="A20" s="22"/>
      <c r="B20" s="13" t="s">
        <v>33</v>
      </c>
      <c r="C20" s="21"/>
      <c r="D20" s="30"/>
      <c r="E20" s="30"/>
      <c r="F20" s="22"/>
      <c r="G20" s="13" t="s">
        <v>33</v>
      </c>
      <c r="H20" s="24"/>
      <c r="I20" s="10"/>
      <c r="J20" s="10"/>
      <c r="K20" s="10"/>
      <c r="L20" s="4"/>
    </row>
    <row r="21" s="19" customFormat="true" ht="30.2" hidden="false" customHeight="true" outlineLevel="0" collapsed="false">
      <c r="A21" s="22"/>
      <c r="B21" s="13" t="s">
        <v>34</v>
      </c>
      <c r="C21" s="21"/>
      <c r="D21" s="30"/>
      <c r="E21" s="30"/>
      <c r="F21" s="22"/>
      <c r="G21" s="13" t="s">
        <v>35</v>
      </c>
      <c r="H21" s="24"/>
      <c r="I21" s="31"/>
      <c r="J21" s="10"/>
      <c r="K21" s="10"/>
      <c r="L21" s="4"/>
    </row>
    <row r="22" s="19" customFormat="true" ht="30.2" hidden="false" customHeight="true" outlineLevel="0" collapsed="false">
      <c r="A22" s="22"/>
      <c r="B22" s="13" t="s">
        <v>36</v>
      </c>
      <c r="C22" s="21"/>
      <c r="D22" s="30"/>
      <c r="E22" s="30"/>
      <c r="F22" s="22"/>
      <c r="G22" s="13" t="s">
        <v>37</v>
      </c>
      <c r="H22" s="24"/>
      <c r="I22" s="10"/>
      <c r="J22" s="10"/>
      <c r="K22" s="10"/>
      <c r="L22" s="4"/>
    </row>
    <row r="23" s="19" customFormat="true" ht="30.2" hidden="false" customHeight="true" outlineLevel="0" collapsed="false">
      <c r="A23" s="22"/>
      <c r="B23" s="13" t="s">
        <v>38</v>
      </c>
      <c r="C23" s="21"/>
      <c r="D23" s="30"/>
      <c r="E23" s="30"/>
      <c r="F23" s="22"/>
      <c r="G23" s="13" t="s">
        <v>39</v>
      </c>
      <c r="H23" s="24"/>
      <c r="I23" s="10"/>
      <c r="J23" s="10"/>
      <c r="K23" s="10"/>
      <c r="L23" s="4"/>
    </row>
    <row r="24" s="19" customFormat="true" ht="30.2" hidden="false" customHeight="true" outlineLevel="0" collapsed="false">
      <c r="A24" s="22"/>
      <c r="B24" s="13" t="s">
        <v>40</v>
      </c>
      <c r="C24" s="21"/>
      <c r="D24" s="30"/>
      <c r="E24" s="30"/>
      <c r="F24" s="22"/>
      <c r="G24" s="13" t="s">
        <v>41</v>
      </c>
      <c r="H24" s="24"/>
      <c r="I24" s="10"/>
      <c r="J24" s="10"/>
      <c r="K24" s="10"/>
      <c r="L24" s="4"/>
    </row>
    <row r="25" s="19" customFormat="true" ht="15" hidden="false" customHeight="false" outlineLevel="0" collapsed="false">
      <c r="A25" s="10"/>
      <c r="B25" s="10"/>
      <c r="C25" s="10"/>
      <c r="D25" s="10"/>
      <c r="E25" s="10"/>
      <c r="F25" s="32"/>
      <c r="G25" s="32"/>
      <c r="H25" s="32"/>
      <c r="I25" s="10"/>
      <c r="J25" s="10"/>
      <c r="K25" s="10"/>
      <c r="L25" s="4"/>
    </row>
    <row r="26" s="19" customFormat="true" ht="135" hidden="false" customHeight="true" outlineLevel="0" collapsed="false">
      <c r="A26" s="13" t="s">
        <v>42</v>
      </c>
      <c r="B26" s="33"/>
      <c r="C26" s="33"/>
      <c r="D26" s="10"/>
      <c r="E26" s="10"/>
      <c r="F26" s="22" t="s">
        <v>43</v>
      </c>
      <c r="G26" s="34"/>
      <c r="H26" s="34"/>
      <c r="I26" s="34"/>
      <c r="J26" s="34"/>
      <c r="K26" s="35"/>
      <c r="L26" s="36"/>
    </row>
    <row r="27" s="19" customFormat="true" ht="69" hidden="false" customHeight="true" outlineLevel="0" collapsed="false">
      <c r="A27" s="10"/>
      <c r="B27" s="37"/>
      <c r="C27" s="37"/>
      <c r="D27" s="10"/>
      <c r="E27" s="10"/>
      <c r="F27" s="22" t="s">
        <v>44</v>
      </c>
      <c r="G27" s="34"/>
      <c r="H27" s="34"/>
      <c r="I27" s="34"/>
      <c r="J27" s="34"/>
      <c r="K27" s="35"/>
      <c r="L27" s="36"/>
    </row>
    <row r="28" customFormat="false" ht="15" hidden="false" customHeight="true" outlineLevel="0" collapsed="false">
      <c r="A28" s="22" t="s">
        <v>45</v>
      </c>
      <c r="B28" s="38"/>
      <c r="C28" s="38"/>
      <c r="D28" s="10"/>
      <c r="E28" s="10"/>
      <c r="F28" s="15"/>
      <c r="G28" s="15"/>
      <c r="H28" s="15"/>
      <c r="I28" s="15"/>
      <c r="J28" s="15"/>
      <c r="K28" s="15"/>
      <c r="L28" s="4"/>
    </row>
    <row r="29" customFormat="false" ht="16.5" hidden="false" customHeight="true" outlineLevel="0" collapsed="false">
      <c r="A29" s="22"/>
      <c r="B29" s="38"/>
      <c r="C29" s="38"/>
      <c r="D29" s="10"/>
      <c r="E29" s="10"/>
      <c r="F29" s="22" t="s">
        <v>46</v>
      </c>
      <c r="G29" s="39" t="s">
        <v>47</v>
      </c>
      <c r="H29" s="40"/>
      <c r="I29" s="10"/>
      <c r="J29" s="10"/>
      <c r="K29" s="10"/>
      <c r="L29" s="4"/>
    </row>
    <row r="30" customFormat="false" ht="15.75" hidden="false" customHeight="false" outlineLevel="0" collapsed="false">
      <c r="A30" s="22"/>
      <c r="B30" s="38"/>
      <c r="C30" s="38"/>
      <c r="D30" s="10"/>
      <c r="E30" s="10"/>
      <c r="F30" s="22"/>
      <c r="G30" s="39" t="s">
        <v>48</v>
      </c>
      <c r="H30" s="26"/>
      <c r="I30" s="10"/>
      <c r="J30" s="10"/>
      <c r="K30" s="10"/>
      <c r="L30" s="4"/>
    </row>
    <row r="31" customFormat="false" ht="15" hidden="false" customHeight="false" outlineLevel="0" collapsed="false">
      <c r="A31" s="22"/>
      <c r="B31" s="38"/>
      <c r="C31" s="38"/>
      <c r="D31" s="10"/>
      <c r="E31" s="10"/>
      <c r="F31" s="10"/>
      <c r="G31" s="10"/>
      <c r="H31" s="10"/>
      <c r="I31" s="10"/>
      <c r="J31" s="10"/>
      <c r="K31" s="10"/>
      <c r="L31" s="4"/>
    </row>
    <row r="32" customFormat="false" ht="30.75" hidden="false" customHeight="true" outlineLevel="0" collapsed="false">
      <c r="A32" s="10"/>
      <c r="B32" s="37"/>
      <c r="C32" s="37"/>
      <c r="D32" s="10"/>
      <c r="E32" s="10"/>
      <c r="F32" s="13" t="s">
        <v>49</v>
      </c>
      <c r="G32" s="18" t="s">
        <v>50</v>
      </c>
      <c r="H32" s="31" t="str">
        <f aca="false">IF(G32="","Please complete using dropdown, selection will link to project stage in part 5 milestones ","")</f>
        <v/>
      </c>
      <c r="I32" s="10"/>
      <c r="J32" s="10"/>
      <c r="K32" s="10"/>
      <c r="L32" s="4"/>
    </row>
    <row r="33" customFormat="false" ht="63" hidden="false" customHeight="true" outlineLevel="0" collapsed="false">
      <c r="A33" s="22" t="s">
        <v>51</v>
      </c>
      <c r="B33" s="41"/>
      <c r="C33" s="41"/>
      <c r="D33" s="18"/>
      <c r="E33" s="10"/>
      <c r="F33" s="13" t="s">
        <v>52</v>
      </c>
      <c r="G33" s="21"/>
      <c r="H33" s="10"/>
      <c r="I33" s="10"/>
      <c r="J33" s="10"/>
      <c r="K33" s="10"/>
      <c r="L33" s="4"/>
    </row>
    <row r="34" customFormat="false" ht="63" hidden="false" customHeight="true" outlineLevel="0" collapsed="false">
      <c r="A34" s="22"/>
      <c r="B34" s="41"/>
      <c r="C34" s="41"/>
      <c r="D34" s="18"/>
      <c r="E34" s="10"/>
      <c r="F34" s="10"/>
      <c r="G34" s="10"/>
      <c r="H34" s="42"/>
      <c r="I34" s="42"/>
      <c r="J34" s="42"/>
      <c r="K34" s="42"/>
      <c r="L34" s="4"/>
    </row>
    <row r="35" customFormat="false" ht="63" hidden="false" customHeight="true" outlineLevel="0" collapsed="false">
      <c r="A35" s="22"/>
      <c r="B35" s="41"/>
      <c r="C35" s="41"/>
      <c r="D35" s="18"/>
      <c r="E35" s="10"/>
      <c r="F35" s="43" t="s">
        <v>53</v>
      </c>
      <c r="G35" s="44"/>
      <c r="H35" s="45"/>
      <c r="I35" s="46"/>
      <c r="J35" s="46"/>
      <c r="K35" s="47"/>
      <c r="L35" s="48" t="str">
        <f aca="false">IF(AND(OR(G35="increase",G35="decrease"),H35=""),"Please complete as scope change","")</f>
        <v/>
      </c>
    </row>
    <row r="36" customFormat="false" ht="63" hidden="false" customHeight="true" outlineLevel="0" collapsed="false">
      <c r="A36" s="22"/>
      <c r="B36" s="41"/>
      <c r="C36" s="41"/>
      <c r="D36" s="18"/>
      <c r="E36" s="10"/>
      <c r="F36" s="46"/>
      <c r="G36" s="46"/>
      <c r="H36" s="45"/>
      <c r="I36" s="49"/>
      <c r="J36" s="49"/>
      <c r="K36" s="50"/>
      <c r="L36" s="4"/>
    </row>
    <row r="37" customFormat="false" ht="63" hidden="false" customHeight="true" outlineLevel="0" collapsed="false">
      <c r="A37" s="22"/>
      <c r="B37" s="41"/>
      <c r="C37" s="41"/>
      <c r="D37" s="18"/>
      <c r="E37" s="10"/>
      <c r="F37" s="46"/>
      <c r="G37" s="46"/>
      <c r="H37" s="45"/>
      <c r="I37" s="49"/>
      <c r="J37" s="49"/>
      <c r="K37" s="50"/>
      <c r="L37" s="4"/>
    </row>
    <row r="38" customFormat="false" ht="63" hidden="false" customHeight="true" outlineLevel="0" collapsed="false">
      <c r="A38" s="22"/>
      <c r="B38" s="41"/>
      <c r="C38" s="41"/>
      <c r="D38" s="18"/>
      <c r="E38" s="10"/>
      <c r="F38" s="46"/>
      <c r="G38" s="46"/>
      <c r="H38" s="46"/>
      <c r="I38" s="51"/>
      <c r="J38" s="51"/>
      <c r="K38" s="52"/>
      <c r="L38" s="4"/>
    </row>
    <row r="39" customFormat="false" ht="63" hidden="false" customHeight="true" outlineLevel="0" collapsed="false">
      <c r="A39" s="22"/>
      <c r="B39" s="41"/>
      <c r="C39" s="41"/>
      <c r="D39" s="18"/>
      <c r="E39" s="10"/>
      <c r="F39" s="53" t="s">
        <v>54</v>
      </c>
      <c r="G39" s="54" t="s">
        <v>55</v>
      </c>
      <c r="H39" s="31"/>
      <c r="I39" s="10"/>
      <c r="J39" s="10"/>
      <c r="K39" s="10"/>
      <c r="L39" s="4"/>
    </row>
    <row r="40" customFormat="false" ht="63" hidden="false" customHeight="true" outlineLevel="0" collapsed="false">
      <c r="A40" s="22"/>
      <c r="B40" s="41"/>
      <c r="C40" s="41"/>
      <c r="D40" s="18"/>
      <c r="E40" s="10"/>
      <c r="F40" s="10"/>
      <c r="G40" s="10"/>
      <c r="H40" s="10"/>
      <c r="I40" s="10"/>
      <c r="J40" s="55" t="s">
        <v>56</v>
      </c>
      <c r="K40" s="55"/>
      <c r="L40" s="4"/>
    </row>
    <row r="41" customFormat="false" ht="63" hidden="false" customHeight="true" outlineLevel="0" collapsed="false">
      <c r="A41" s="22"/>
      <c r="B41" s="41"/>
      <c r="C41" s="41"/>
      <c r="D41" s="18"/>
      <c r="E41" s="10"/>
      <c r="F41" s="22" t="s">
        <v>57</v>
      </c>
      <c r="G41" s="13" t="s">
        <v>58</v>
      </c>
      <c r="H41" s="34"/>
      <c r="I41" s="34"/>
      <c r="J41" s="56"/>
      <c r="K41" s="56"/>
      <c r="L41" s="36"/>
    </row>
    <row r="42" customFormat="false" ht="63" hidden="false" customHeight="true" outlineLevel="0" collapsed="false">
      <c r="A42" s="22"/>
      <c r="B42" s="41"/>
      <c r="C42" s="41"/>
      <c r="D42" s="18"/>
      <c r="E42" s="10"/>
      <c r="F42" s="22"/>
      <c r="G42" s="13" t="s">
        <v>59</v>
      </c>
      <c r="H42" s="34"/>
      <c r="I42" s="34"/>
      <c r="J42" s="56"/>
      <c r="K42" s="56"/>
      <c r="L42" s="36"/>
    </row>
    <row r="43" customFormat="false" ht="53.25" hidden="false" customHeight="true" outlineLevel="0" collapsed="false">
      <c r="A43" s="10"/>
      <c r="B43" s="10"/>
      <c r="C43" s="10"/>
      <c r="D43" s="10"/>
      <c r="E43" s="10"/>
      <c r="F43" s="22"/>
      <c r="G43" s="13" t="s">
        <v>60</v>
      </c>
      <c r="H43" s="34"/>
      <c r="I43" s="34"/>
      <c r="J43" s="56"/>
      <c r="K43" s="56"/>
      <c r="L43" s="36"/>
    </row>
    <row r="44" customFormat="false" ht="15" hidden="false" customHeight="false" outlineLevel="0" collapsed="false">
      <c r="A44" s="10"/>
      <c r="B44" s="10"/>
      <c r="C44" s="10"/>
      <c r="D44" s="10"/>
      <c r="E44" s="10"/>
      <c r="F44" s="10"/>
      <c r="G44" s="10"/>
      <c r="H44" s="10"/>
      <c r="I44" s="10"/>
      <c r="J44" s="10"/>
      <c r="K44" s="10"/>
      <c r="L44" s="4"/>
    </row>
    <row r="45" customFormat="false" ht="15" hidden="false" customHeight="false" outlineLevel="0" collapsed="false">
      <c r="A45" s="10"/>
      <c r="B45" s="10"/>
      <c r="C45" s="10"/>
      <c r="D45" s="10"/>
      <c r="E45" s="10"/>
      <c r="F45" s="10"/>
      <c r="G45" s="10"/>
      <c r="H45" s="10"/>
      <c r="I45" s="10"/>
      <c r="J45" s="10"/>
      <c r="K45" s="10"/>
      <c r="L45" s="4"/>
    </row>
    <row r="46" customFormat="false" ht="31.5" hidden="false" customHeight="false" outlineLevel="0" collapsed="false">
      <c r="A46" s="16" t="s">
        <v>61</v>
      </c>
      <c r="B46" s="18"/>
      <c r="C46" s="31" t="str">
        <f aca="false">IF(B46="","Please complete using dropdown","")</f>
        <v>Please complete using dropdown</v>
      </c>
      <c r="D46" s="10"/>
      <c r="E46" s="10"/>
      <c r="F46" s="10"/>
      <c r="G46" s="10"/>
      <c r="H46" s="10"/>
      <c r="I46" s="10"/>
      <c r="J46" s="10"/>
      <c r="K46" s="10"/>
      <c r="L46" s="4"/>
    </row>
    <row r="47" customFormat="false" ht="267" hidden="false" customHeight="true" outlineLevel="0" collapsed="false">
      <c r="A47" s="13" t="s">
        <v>62</v>
      </c>
      <c r="B47" s="13"/>
      <c r="C47" s="41"/>
      <c r="D47" s="41"/>
      <c r="E47" s="41"/>
      <c r="F47" s="41"/>
      <c r="G47" s="41"/>
      <c r="H47" s="41"/>
      <c r="I47" s="41"/>
      <c r="J47" s="41"/>
      <c r="K47" s="41"/>
      <c r="L47" s="4"/>
    </row>
    <row r="48" customFormat="false" ht="15" hidden="false" customHeight="false" outlineLevel="0" collapsed="false">
      <c r="A48" s="57"/>
      <c r="B48" s="57"/>
      <c r="C48" s="58" t="str">
        <f aca="false">IF(B49="","Please ensure you provide date of SRO sign off","")</f>
        <v>Please ensure you provide date of SRO sign off</v>
      </c>
      <c r="D48" s="58"/>
      <c r="E48" s="58"/>
      <c r="F48" s="58"/>
      <c r="G48" s="58"/>
      <c r="H48" s="58"/>
      <c r="I48" s="58"/>
      <c r="J48" s="58"/>
      <c r="K48" s="58"/>
      <c r="L48" s="4"/>
    </row>
    <row r="49" customFormat="false" ht="15.75" hidden="false" customHeight="false" outlineLevel="0" collapsed="false">
      <c r="A49" s="16" t="s">
        <v>63</v>
      </c>
      <c r="B49" s="26"/>
      <c r="C49" s="58"/>
      <c r="D49" s="58"/>
      <c r="E49" s="58"/>
      <c r="F49" s="58"/>
      <c r="G49" s="58"/>
      <c r="H49" s="58"/>
      <c r="I49" s="58"/>
      <c r="J49" s="58"/>
      <c r="K49" s="58"/>
      <c r="L49" s="4"/>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J41:K41"/>
    <mergeCell ref="B42:C42"/>
    <mergeCell ref="H42:I42"/>
    <mergeCell ref="J42:K42"/>
    <mergeCell ref="H43:I43"/>
    <mergeCell ref="J43:K43"/>
    <mergeCell ref="A47:B47"/>
    <mergeCell ref="C47:K47"/>
    <mergeCell ref="A48:B48"/>
    <mergeCell ref="C48:K49"/>
  </mergeCells>
  <conditionalFormatting sqref="B46">
    <cfRule type="beginsWith" priority="2" aboveAverage="0" equalAverage="0" bottom="0" percent="0" rank="0" text="Green" dxfId="0"/>
    <cfRule type="beginsWith" priority="3" aboveAverage="0" equalAverage="0" bottom="0" percent="0" rank="0" text="Amber/G" dxfId="1"/>
    <cfRule type="endsWith" priority="4" aboveAverage="0" equalAverage="0" bottom="0" percent="0" rank="0" text="Amber" dxfId="2"/>
    <cfRule type="beginsWith" priority="5" aboveAverage="0" equalAverage="0" bottom="0" percent="0" rank="0" text="Amber/Red" dxfId="3"/>
    <cfRule type="beginsWith" priority="6" aboveAverage="0" equalAverage="0" bottom="0" percent="0" rank="0" text="Red" dxfId="4"/>
  </conditionalFormatting>
  <dataValidations count="5">
    <dataValidation allowBlank="true" operator="lessThan" showDropDown="false" showErrorMessage="true" showInputMessage="true" sqref="H35:K35 I36:K38 C47:K47" type="textLength">
      <formula1>7001</formula1>
      <formula2>0</formula2>
    </dataValidation>
    <dataValidation allowBlank="true" operator="lessThan" showDropDown="false" showErrorMessage="true" showInputMessage="true" sqref="B26:C26 G26:G27 K27" type="textLength">
      <formula1>5001</formula1>
      <formula2>0</formula2>
    </dataValidation>
    <dataValidation allowBlank="true" operator="between" showDropDown="false" showErrorMessage="true" showInputMessage="true" sqref="H19" type="list">
      <formula1>$V$2:$V$3</formula1>
      <formula2>0</formula2>
    </dataValidation>
    <dataValidation allowBlank="true" operator="greaterThan" showDropDown="false" showErrorMessage="true" showInputMessage="true" sqref="C15:C17 H15:H17 H30 B49" type="date">
      <formula1>1</formula1>
      <formula2>0</formula2>
    </dataValidation>
    <dataValidation allowBlank="true" operator="between" showDropDown="false" showErrorMessage="true" showInputMessage="true" sqref="H18" type="none">
      <formula1>$Z$2:$Z$21</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colBreaks count="1" manualBreakCount="1">
    <brk id="6" man="true" max="65535" min="0"/>
  </colBreaks>
  <drawing r:id="rId1"/>
</worksheet>
</file>

<file path=xl/worksheets/sheet2.xml><?xml version="1.0" encoding="utf-8"?>
<worksheet xmlns="http://schemas.openxmlformats.org/spreadsheetml/2006/main" xmlns:r="http://schemas.openxmlformats.org/officeDocument/2006/relationships">
  <sheetPr filterMode="false">
    <tabColor rgb="FFFFFFFF"/>
    <pageSetUpPr fitToPage="true"/>
  </sheetPr>
  <dimension ref="A1:L198"/>
  <sheetViews>
    <sheetView showFormulas="false" showGridLines="true" showRowColHeaders="true" showZeros="true" rightToLeft="false" tabSelected="false" showOutlineSymbols="true" defaultGridColor="true" view="pageBreakPreview" topLeftCell="A18" colorId="64" zoomScale="68" zoomScaleNormal="68" zoomScalePageLayoutView="68" workbookViewId="0">
      <selection pane="topLeft" activeCell="C18" activeCellId="0" sqref="C18"/>
    </sheetView>
  </sheetViews>
  <sheetFormatPr defaultRowHeight="15" outlineLevelRow="0" outlineLevelCol="0"/>
  <cols>
    <col collapsed="false" customWidth="true" hidden="false" outlineLevel="0" max="2" min="1" style="1" width="33.11"/>
    <col collapsed="false" customWidth="true" hidden="false" outlineLevel="0" max="9" min="3" style="1" width="17.78"/>
    <col collapsed="false" customWidth="true" hidden="false" outlineLevel="0" max="1025" min="10" style="1" width="8.56"/>
  </cols>
  <sheetData>
    <row r="1" customFormat="false" ht="79.5" hidden="false" customHeight="true" outlineLevel="0" collapsed="false">
      <c r="A1" s="59" t="s">
        <v>0</v>
      </c>
      <c r="B1" s="59"/>
      <c r="C1" s="59"/>
      <c r="D1" s="59"/>
      <c r="E1" s="59"/>
      <c r="F1" s="59"/>
      <c r="G1" s="59"/>
      <c r="H1" s="59"/>
      <c r="I1" s="60" t="s">
        <v>64</v>
      </c>
    </row>
    <row r="2" customFormat="false" ht="39" hidden="false" customHeight="true" outlineLevel="0" collapsed="false">
      <c r="A2" s="61" t="s">
        <v>2</v>
      </c>
      <c r="B2" s="61"/>
      <c r="C2" s="61"/>
      <c r="D2" s="61"/>
      <c r="E2" s="61"/>
      <c r="F2" s="7"/>
      <c r="G2" s="7"/>
      <c r="H2" s="7"/>
      <c r="I2" s="5"/>
      <c r="J2" s="5"/>
      <c r="K2" s="5"/>
    </row>
    <row r="3" customFormat="false" ht="20.25" hidden="false" customHeight="false" outlineLevel="0" collapsed="false">
      <c r="A3" s="7" t="s">
        <v>65</v>
      </c>
      <c r="B3" s="5"/>
      <c r="C3" s="5"/>
      <c r="D3" s="5"/>
      <c r="E3" s="5"/>
      <c r="F3" s="5"/>
      <c r="G3" s="5"/>
      <c r="H3" s="5"/>
      <c r="I3" s="5"/>
    </row>
    <row r="4" customFormat="false" ht="15.75" hidden="false" customHeight="false" outlineLevel="0" collapsed="false">
      <c r="A4" s="62" t="s">
        <v>66</v>
      </c>
      <c r="B4" s="10"/>
      <c r="C4" s="10"/>
      <c r="D4" s="10"/>
      <c r="E4" s="10"/>
      <c r="F4" s="10"/>
      <c r="G4" s="10"/>
      <c r="H4" s="10"/>
      <c r="I4" s="10"/>
    </row>
    <row r="5" customFormat="false" ht="6" hidden="false" customHeight="true" outlineLevel="0" collapsed="false">
      <c r="A5" s="35"/>
      <c r="B5" s="10"/>
      <c r="C5" s="10"/>
      <c r="D5" s="10"/>
      <c r="E5" s="10"/>
      <c r="F5" s="10"/>
      <c r="G5" s="10"/>
      <c r="H5" s="10"/>
      <c r="I5" s="10"/>
    </row>
    <row r="6" s="19" customFormat="true" ht="31.5" hidden="false" customHeight="true" outlineLevel="0" collapsed="false">
      <c r="A6" s="63" t="s">
        <v>67</v>
      </c>
      <c r="B6" s="63"/>
      <c r="C6" s="18"/>
      <c r="D6" s="31" t="str">
        <f aca="false">IF(C6="","Please complete using dropdown","")</f>
        <v>Please complete using dropdown</v>
      </c>
      <c r="E6" s="10"/>
      <c r="F6" s="10"/>
      <c r="G6" s="10"/>
      <c r="H6" s="10"/>
      <c r="I6" s="10"/>
    </row>
    <row r="7" s="19" customFormat="true" ht="14.25" hidden="false" customHeight="true" outlineLevel="0" collapsed="false">
      <c r="A7" s="35"/>
      <c r="B7" s="10"/>
      <c r="C7" s="10"/>
      <c r="D7" s="10"/>
      <c r="E7" s="10"/>
      <c r="F7" s="10"/>
      <c r="G7" s="10"/>
      <c r="H7" s="10"/>
      <c r="I7" s="10"/>
    </row>
    <row r="8" customFormat="false" ht="15" hidden="true" customHeight="false" outlineLevel="0" collapsed="false">
      <c r="A8" s="35"/>
      <c r="B8" s="35"/>
      <c r="C8" s="35"/>
      <c r="D8" s="35"/>
      <c r="E8" s="35"/>
      <c r="F8" s="35"/>
      <c r="G8" s="35"/>
      <c r="H8" s="35"/>
      <c r="I8" s="35"/>
    </row>
    <row r="9" customFormat="false" ht="31.5" hidden="false" customHeight="true" outlineLevel="0" collapsed="false">
      <c r="A9" s="22" t="s">
        <v>68</v>
      </c>
      <c r="B9" s="43" t="s">
        <v>69</v>
      </c>
      <c r="C9" s="18"/>
      <c r="D9" s="16" t="s">
        <v>70</v>
      </c>
      <c r="E9" s="18"/>
      <c r="F9" s="10"/>
      <c r="G9" s="10"/>
      <c r="H9" s="10"/>
      <c r="I9" s="10"/>
    </row>
    <row r="10" customFormat="false" ht="32.25" hidden="false" customHeight="false" outlineLevel="0" collapsed="false">
      <c r="A10" s="22"/>
      <c r="B10" s="43" t="s">
        <v>71</v>
      </c>
      <c r="C10" s="18"/>
      <c r="D10" s="16" t="s">
        <v>72</v>
      </c>
      <c r="E10" s="18"/>
      <c r="F10" s="64"/>
      <c r="G10" s="64"/>
      <c r="H10" s="64"/>
      <c r="I10" s="64"/>
    </row>
    <row r="11" customFormat="false" ht="31.5" hidden="false" customHeight="false" outlineLevel="0" collapsed="false">
      <c r="A11" s="22"/>
      <c r="B11" s="43" t="s">
        <v>73</v>
      </c>
      <c r="C11" s="26"/>
      <c r="D11" s="16" t="s">
        <v>74</v>
      </c>
      <c r="E11" s="26"/>
      <c r="F11" s="10"/>
      <c r="G11" s="10"/>
      <c r="H11" s="10"/>
      <c r="I11" s="10"/>
    </row>
    <row r="12" customFormat="false" ht="31.5" hidden="false" customHeight="false" outlineLevel="0" collapsed="false">
      <c r="A12" s="22"/>
      <c r="B12" s="43" t="s">
        <v>75</v>
      </c>
      <c r="C12" s="18"/>
      <c r="D12" s="64"/>
      <c r="E12" s="64"/>
      <c r="F12" s="64"/>
      <c r="G12" s="10"/>
      <c r="H12" s="10"/>
      <c r="I12" s="10"/>
    </row>
    <row r="13" customFormat="false" ht="32.25" hidden="false" customHeight="true" outlineLevel="0" collapsed="false">
      <c r="A13" s="22"/>
      <c r="B13" s="43" t="s">
        <v>76</v>
      </c>
      <c r="C13" s="26"/>
      <c r="D13" s="10"/>
      <c r="E13" s="10"/>
      <c r="F13" s="10"/>
      <c r="G13" s="10"/>
      <c r="H13" s="10"/>
      <c r="I13" s="10"/>
    </row>
    <row r="14" customFormat="false" ht="15" hidden="false" customHeight="false" outlineLevel="0" collapsed="false">
      <c r="A14" s="10"/>
      <c r="B14" s="10"/>
      <c r="C14" s="10"/>
      <c r="D14" s="10"/>
      <c r="E14" s="10"/>
      <c r="F14" s="10"/>
      <c r="G14" s="10"/>
      <c r="H14" s="10"/>
      <c r="I14" s="10"/>
    </row>
    <row r="15" customFormat="false" ht="15" hidden="false" customHeight="true" outlineLevel="0" collapsed="false">
      <c r="A15" s="65" t="s">
        <v>77</v>
      </c>
      <c r="B15" s="65"/>
      <c r="C15" s="65"/>
      <c r="D15" s="66"/>
      <c r="E15" s="67" t="s">
        <v>78</v>
      </c>
      <c r="F15" s="67"/>
      <c r="G15" s="67"/>
      <c r="H15" s="67"/>
      <c r="I15" s="67"/>
    </row>
    <row r="16" customFormat="false" ht="15" hidden="false" customHeight="false" outlineLevel="0" collapsed="false">
      <c r="A16" s="10"/>
      <c r="B16" s="10"/>
      <c r="C16" s="10"/>
      <c r="D16" s="10"/>
      <c r="E16" s="10"/>
      <c r="F16" s="10"/>
      <c r="G16" s="10"/>
      <c r="H16" s="10"/>
      <c r="I16" s="10"/>
    </row>
    <row r="17" customFormat="false" ht="15.75" hidden="false" customHeight="false" outlineLevel="0" collapsed="false">
      <c r="A17" s="62" t="s">
        <v>79</v>
      </c>
      <c r="B17" s="10"/>
      <c r="C17" s="10"/>
      <c r="D17" s="10"/>
      <c r="E17" s="10"/>
      <c r="F17" s="10"/>
      <c r="G17" s="10"/>
      <c r="H17" s="10"/>
      <c r="I17" s="10"/>
    </row>
    <row r="18" s="19" customFormat="true" ht="16.5" hidden="false" customHeight="false" outlineLevel="0" collapsed="false">
      <c r="A18" s="43" t="s">
        <v>80</v>
      </c>
      <c r="B18" s="43" t="s">
        <v>81</v>
      </c>
      <c r="C18" s="18"/>
      <c r="D18" s="43" t="s">
        <v>82</v>
      </c>
      <c r="E18" s="18" t="s">
        <v>83</v>
      </c>
      <c r="F18" s="35"/>
      <c r="G18" s="10"/>
      <c r="H18" s="10"/>
      <c r="I18" s="10"/>
    </row>
    <row r="19" customFormat="false" ht="32.25" hidden="false" customHeight="true" outlineLevel="0" collapsed="false">
      <c r="A19" s="43" t="s">
        <v>84</v>
      </c>
      <c r="B19" s="68"/>
      <c r="C19" s="69" t="str">
        <f aca="false">IF(C18="","Please specify if financial figures are real or nominal",IF(C18="Nominal","As Nominal please leave blank",IF(C18="Real","As Real please complete using dropdown","")))</f>
        <v>Please specify if financial figures are real or nominal</v>
      </c>
      <c r="D19" s="69"/>
      <c r="E19" s="10"/>
      <c r="F19" s="10"/>
      <c r="G19" s="10"/>
      <c r="H19" s="10"/>
      <c r="I19" s="10"/>
    </row>
    <row r="20" customFormat="false" ht="32.25" hidden="false" customHeight="true" outlineLevel="0" collapsed="false">
      <c r="A20" s="43" t="s">
        <v>85</v>
      </c>
      <c r="B20" s="70"/>
      <c r="C20" s="69" t="str">
        <f aca="false">IF(C18="","Please specificy if financial figures are real or nominal",IF(C18="Nominal","As Nominal please leave blank",IF(C18="Real","As Real please complete using dropdown","")))</f>
        <v>Please specificy if financial figures are real or nominal</v>
      </c>
      <c r="D20" s="69"/>
      <c r="E20" s="10"/>
      <c r="F20" s="10"/>
      <c r="G20" s="10"/>
      <c r="H20" s="10"/>
      <c r="I20" s="10"/>
    </row>
    <row r="21" customFormat="false" ht="32.25" hidden="false" customHeight="true" outlineLevel="0" collapsed="false">
      <c r="A21" s="43" t="s">
        <v>86</v>
      </c>
      <c r="B21" s="26"/>
      <c r="C21" s="43" t="s">
        <v>87</v>
      </c>
      <c r="D21" s="41"/>
      <c r="E21" s="41"/>
      <c r="F21" s="41"/>
      <c r="G21" s="41"/>
      <c r="H21" s="41"/>
      <c r="I21" s="10"/>
    </row>
    <row r="22" customFormat="false" ht="48" hidden="false" customHeight="true" outlineLevel="0" collapsed="false">
      <c r="A22" s="43" t="s">
        <v>88</v>
      </c>
      <c r="B22" s="71"/>
      <c r="C22" s="10"/>
      <c r="D22" s="10"/>
      <c r="E22" s="10"/>
      <c r="F22" s="10"/>
      <c r="G22" s="10"/>
      <c r="H22" s="10"/>
      <c r="I22" s="10"/>
    </row>
    <row r="23" customFormat="false" ht="48" hidden="false" customHeight="true" outlineLevel="0" collapsed="false">
      <c r="A23" s="43" t="s">
        <v>89</v>
      </c>
      <c r="B23" s="72"/>
      <c r="C23" s="73" t="str">
        <f aca="false">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73"/>
      <c r="E23" s="73"/>
      <c r="F23" s="73"/>
      <c r="G23" s="10"/>
      <c r="H23" s="10"/>
      <c r="I23" s="10"/>
    </row>
    <row r="24" customFormat="false" ht="6.75" hidden="false" customHeight="true" outlineLevel="0" collapsed="false">
      <c r="A24" s="10"/>
      <c r="B24" s="10"/>
      <c r="C24" s="10"/>
      <c r="D24" s="10"/>
      <c r="E24" s="10"/>
      <c r="F24" s="10"/>
      <c r="G24" s="10"/>
      <c r="H24" s="10"/>
      <c r="I24" s="10"/>
    </row>
    <row r="25" customFormat="false" ht="32.25" hidden="false" customHeight="true" outlineLevel="0" collapsed="false">
      <c r="A25" s="74" t="s">
        <v>90</v>
      </c>
      <c r="B25" s="74"/>
      <c r="C25" s="10"/>
      <c r="D25" s="10"/>
      <c r="E25" s="10"/>
      <c r="F25" s="10"/>
      <c r="G25" s="10"/>
      <c r="H25" s="75" t="s">
        <v>91</v>
      </c>
      <c r="I25" s="75"/>
    </row>
    <row r="26" s="19" customFormat="true" ht="85.5" hidden="false" customHeight="true" outlineLevel="0" collapsed="false">
      <c r="A26" s="43" t="s">
        <v>92</v>
      </c>
      <c r="B26" s="76" t="s">
        <v>93</v>
      </c>
      <c r="C26" s="77" t="s">
        <v>94</v>
      </c>
      <c r="D26" s="77" t="s">
        <v>95</v>
      </c>
      <c r="E26" s="77" t="s">
        <v>96</v>
      </c>
      <c r="F26" s="78" t="s">
        <v>97</v>
      </c>
      <c r="G26" s="10"/>
      <c r="H26" s="79" t="s">
        <v>98</v>
      </c>
      <c r="I26" s="79" t="s">
        <v>99</v>
      </c>
    </row>
    <row r="27" customFormat="false" ht="15.75" hidden="false" customHeight="true" outlineLevel="0" collapsed="false">
      <c r="A27" s="80" t="s">
        <v>100</v>
      </c>
      <c r="B27" s="81" t="s">
        <v>101</v>
      </c>
      <c r="C27" s="82"/>
      <c r="D27" s="82"/>
      <c r="E27" s="82"/>
      <c r="F27" s="83" t="n">
        <f aca="false">SUM(C27:E27)</f>
        <v>0</v>
      </c>
      <c r="G27" s="10"/>
      <c r="H27" s="84"/>
      <c r="I27" s="84"/>
    </row>
    <row r="28" customFormat="false" ht="15.75" hidden="false" customHeight="true" outlineLevel="0" collapsed="false">
      <c r="A28" s="80"/>
      <c r="B28" s="81" t="s">
        <v>102</v>
      </c>
      <c r="C28" s="82"/>
      <c r="D28" s="82"/>
      <c r="E28" s="82"/>
      <c r="F28" s="83" t="n">
        <f aca="false">SUM(C28:E28)</f>
        <v>0</v>
      </c>
      <c r="G28" s="10"/>
      <c r="H28" s="85"/>
      <c r="I28" s="85"/>
    </row>
    <row r="29" customFormat="false" ht="15.75" hidden="false" customHeight="true" outlineLevel="0" collapsed="false">
      <c r="A29" s="80" t="s">
        <v>103</v>
      </c>
      <c r="B29" s="81" t="s">
        <v>101</v>
      </c>
      <c r="C29" s="82"/>
      <c r="D29" s="82"/>
      <c r="E29" s="82"/>
      <c r="F29" s="83" t="n">
        <f aca="false">SUM(C29:E29)</f>
        <v>0</v>
      </c>
      <c r="G29" s="10"/>
      <c r="H29" s="86"/>
      <c r="I29" s="86"/>
    </row>
    <row r="30" customFormat="false" ht="15.75" hidden="false" customHeight="true" outlineLevel="0" collapsed="false">
      <c r="A30" s="80"/>
      <c r="B30" s="81" t="s">
        <v>102</v>
      </c>
      <c r="C30" s="82"/>
      <c r="D30" s="82"/>
      <c r="E30" s="82"/>
      <c r="F30" s="83" t="n">
        <f aca="false">SUM(C30:E30)</f>
        <v>0</v>
      </c>
      <c r="G30" s="10"/>
      <c r="H30" s="85"/>
      <c r="I30" s="85"/>
    </row>
    <row r="31" customFormat="false" ht="15.75" hidden="false" customHeight="true" outlineLevel="0" collapsed="false">
      <c r="A31" s="80" t="s">
        <v>104</v>
      </c>
      <c r="B31" s="81" t="s">
        <v>101</v>
      </c>
      <c r="C31" s="82"/>
      <c r="D31" s="82"/>
      <c r="E31" s="82"/>
      <c r="F31" s="83" t="n">
        <f aca="false">SUM(C31:E31)</f>
        <v>0</v>
      </c>
      <c r="G31" s="10"/>
      <c r="H31" s="85"/>
      <c r="I31" s="85"/>
    </row>
    <row r="32" customFormat="false" ht="15.75" hidden="false" customHeight="true" outlineLevel="0" collapsed="false">
      <c r="A32" s="80"/>
      <c r="B32" s="81" t="s">
        <v>102</v>
      </c>
      <c r="C32" s="82"/>
      <c r="D32" s="82"/>
      <c r="E32" s="82"/>
      <c r="F32" s="83" t="n">
        <f aca="false">SUM(C32:E32)</f>
        <v>0</v>
      </c>
      <c r="G32" s="10"/>
      <c r="H32" s="85"/>
      <c r="I32" s="85"/>
    </row>
    <row r="33" customFormat="false" ht="15.75" hidden="false" customHeight="true" outlineLevel="0" collapsed="false">
      <c r="A33" s="80" t="s">
        <v>105</v>
      </c>
      <c r="B33" s="81" t="s">
        <v>101</v>
      </c>
      <c r="C33" s="82"/>
      <c r="D33" s="82"/>
      <c r="E33" s="82"/>
      <c r="F33" s="83" t="n">
        <f aca="false">SUM(C33:E33)</f>
        <v>0</v>
      </c>
      <c r="G33" s="10"/>
      <c r="H33" s="85"/>
      <c r="I33" s="85"/>
    </row>
    <row r="34" customFormat="false" ht="15.75" hidden="false" customHeight="true" outlineLevel="0" collapsed="false">
      <c r="A34" s="80"/>
      <c r="B34" s="81" t="s">
        <v>102</v>
      </c>
      <c r="C34" s="82"/>
      <c r="D34" s="82"/>
      <c r="E34" s="82"/>
      <c r="F34" s="83" t="n">
        <f aca="false">SUM(C34:E34)</f>
        <v>0</v>
      </c>
      <c r="G34" s="10"/>
      <c r="H34" s="85"/>
      <c r="I34" s="85"/>
    </row>
    <row r="35" customFormat="false" ht="14.25" hidden="false" customHeight="true" outlineLevel="0" collapsed="false">
      <c r="A35" s="87" t="s">
        <v>106</v>
      </c>
      <c r="B35" s="81" t="s">
        <v>107</v>
      </c>
      <c r="C35" s="82"/>
      <c r="D35" s="88"/>
      <c r="E35" s="88"/>
      <c r="F35" s="83" t="n">
        <f aca="false">SUM(C35:E35)</f>
        <v>0</v>
      </c>
      <c r="G35" s="10"/>
      <c r="H35" s="85"/>
      <c r="I35" s="85"/>
    </row>
    <row r="36" customFormat="false" ht="15.75" hidden="false" customHeight="false" outlineLevel="0" collapsed="false">
      <c r="A36" s="87"/>
      <c r="B36" s="81" t="s">
        <v>102</v>
      </c>
      <c r="C36" s="82"/>
      <c r="D36" s="82"/>
      <c r="E36" s="82"/>
      <c r="F36" s="83" t="n">
        <f aca="false">SUM(C36:E36)</f>
        <v>0</v>
      </c>
      <c r="G36" s="10"/>
      <c r="H36" s="85"/>
      <c r="I36" s="89"/>
    </row>
    <row r="37" customFormat="false" ht="30" hidden="false" customHeight="true" outlineLevel="0" collapsed="false">
      <c r="A37" s="43" t="s">
        <v>108</v>
      </c>
      <c r="B37" s="81" t="s">
        <v>109</v>
      </c>
      <c r="C37" s="90"/>
      <c r="D37" s="91"/>
      <c r="E37" s="91"/>
      <c r="F37" s="91"/>
      <c r="G37" s="10"/>
      <c r="H37" s="86"/>
      <c r="I37" s="92"/>
    </row>
    <row r="38" customFormat="false" ht="15.75" hidden="false" customHeight="true" outlineLevel="0" collapsed="false">
      <c r="A38" s="87" t="s">
        <v>110</v>
      </c>
      <c r="B38" s="81" t="s">
        <v>107</v>
      </c>
      <c r="C38" s="93"/>
      <c r="D38" s="88"/>
      <c r="E38" s="88"/>
      <c r="F38" s="94" t="n">
        <f aca="false">SUM(C38:E38)</f>
        <v>0</v>
      </c>
      <c r="G38" s="95" t="s">
        <v>111</v>
      </c>
      <c r="H38" s="96"/>
      <c r="I38" s="97"/>
    </row>
    <row r="39" customFormat="false" ht="15.75" hidden="false" customHeight="true" outlineLevel="0" collapsed="false">
      <c r="A39" s="87"/>
      <c r="B39" s="81" t="s">
        <v>112</v>
      </c>
      <c r="C39" s="98"/>
      <c r="D39" s="82"/>
      <c r="E39" s="82"/>
      <c r="F39" s="99" t="n">
        <f aca="false">SUM(C39:E39)</f>
        <v>0</v>
      </c>
      <c r="G39" s="95"/>
      <c r="H39" s="100"/>
      <c r="I39" s="89"/>
    </row>
    <row r="40" customFormat="false" ht="15" hidden="true" customHeight="true" outlineLevel="0" collapsed="false">
      <c r="A40" s="87" t="s">
        <v>113</v>
      </c>
      <c r="B40" s="81" t="s">
        <v>107</v>
      </c>
      <c r="C40" s="98"/>
      <c r="D40" s="82"/>
      <c r="E40" s="82"/>
      <c r="F40" s="101" t="n">
        <f aca="false">SUM(C40:E40)</f>
        <v>0</v>
      </c>
      <c r="G40" s="95"/>
      <c r="H40" s="100"/>
      <c r="I40" s="89"/>
    </row>
    <row r="41" customFormat="false" ht="15.75" hidden="true" customHeight="false" outlineLevel="0" collapsed="false">
      <c r="A41" s="87"/>
      <c r="B41" s="81" t="s">
        <v>112</v>
      </c>
      <c r="C41" s="98"/>
      <c r="D41" s="82"/>
      <c r="E41" s="82"/>
      <c r="F41" s="101" t="n">
        <f aca="false">SUM(C41:E41)</f>
        <v>0</v>
      </c>
      <c r="G41" s="95"/>
      <c r="H41" s="100"/>
      <c r="I41" s="89"/>
    </row>
    <row r="42" customFormat="false" ht="15.75" hidden="false" customHeight="true" outlineLevel="0" collapsed="false">
      <c r="A42" s="87" t="s">
        <v>114</v>
      </c>
      <c r="B42" s="81" t="s">
        <v>107</v>
      </c>
      <c r="C42" s="98"/>
      <c r="D42" s="82"/>
      <c r="E42" s="82"/>
      <c r="F42" s="101" t="n">
        <f aca="false">SUM(C42:E42)</f>
        <v>0</v>
      </c>
      <c r="G42" s="95"/>
      <c r="H42" s="100"/>
      <c r="I42" s="89"/>
    </row>
    <row r="43" customFormat="false" ht="15.75" hidden="false" customHeight="false" outlineLevel="0" collapsed="false">
      <c r="A43" s="87"/>
      <c r="B43" s="81" t="s">
        <v>112</v>
      </c>
      <c r="C43" s="98"/>
      <c r="D43" s="82"/>
      <c r="E43" s="82"/>
      <c r="F43" s="101" t="n">
        <f aca="false">SUM(C43:E43)</f>
        <v>0</v>
      </c>
      <c r="G43" s="95"/>
      <c r="H43" s="100"/>
      <c r="I43" s="89"/>
    </row>
    <row r="44" customFormat="false" ht="15" hidden="true" customHeight="true" outlineLevel="0" collapsed="false">
      <c r="A44" s="87" t="s">
        <v>115</v>
      </c>
      <c r="B44" s="81" t="s">
        <v>107</v>
      </c>
      <c r="C44" s="98"/>
      <c r="D44" s="82"/>
      <c r="E44" s="82"/>
      <c r="F44" s="101" t="n">
        <f aca="false">SUM(C44:E44)</f>
        <v>0</v>
      </c>
      <c r="G44" s="95"/>
      <c r="H44" s="100"/>
      <c r="I44" s="89"/>
    </row>
    <row r="45" customFormat="false" ht="15.75" hidden="true" customHeight="false" outlineLevel="0" collapsed="false">
      <c r="A45" s="87"/>
      <c r="B45" s="81" t="s">
        <v>112</v>
      </c>
      <c r="C45" s="98"/>
      <c r="D45" s="82"/>
      <c r="E45" s="82"/>
      <c r="F45" s="101" t="n">
        <f aca="false">SUM(C45:E45)</f>
        <v>0</v>
      </c>
      <c r="G45" s="95"/>
      <c r="H45" s="100"/>
      <c r="I45" s="89"/>
    </row>
    <row r="46" customFormat="false" ht="15" hidden="false" customHeight="true" outlineLevel="0" collapsed="false">
      <c r="A46" s="87" t="s">
        <v>116</v>
      </c>
      <c r="B46" s="81" t="s">
        <v>107</v>
      </c>
      <c r="C46" s="98"/>
      <c r="D46" s="82"/>
      <c r="E46" s="82"/>
      <c r="F46" s="101" t="n">
        <f aca="false">SUM(C46:E46)</f>
        <v>0</v>
      </c>
      <c r="G46" s="95"/>
      <c r="H46" s="100"/>
      <c r="I46" s="89"/>
    </row>
    <row r="47" customFormat="false" ht="15.75" hidden="false" customHeight="false" outlineLevel="0" collapsed="false">
      <c r="A47" s="87"/>
      <c r="B47" s="81" t="s">
        <v>112</v>
      </c>
      <c r="C47" s="102"/>
      <c r="D47" s="103"/>
      <c r="E47" s="103"/>
      <c r="F47" s="104" t="n">
        <f aca="false">SUM(C47:E47)</f>
        <v>0</v>
      </c>
      <c r="G47" s="95"/>
      <c r="H47" s="105"/>
      <c r="I47" s="106"/>
    </row>
    <row r="48" customFormat="false" ht="15" hidden="true" customHeight="true" outlineLevel="0" collapsed="false">
      <c r="A48" s="87" t="s">
        <v>117</v>
      </c>
      <c r="B48" s="107" t="s">
        <v>107</v>
      </c>
      <c r="C48" s="108"/>
      <c r="D48" s="109"/>
      <c r="E48" s="109"/>
      <c r="F48" s="110" t="n">
        <f aca="false">SUM(C48:E48)</f>
        <v>0</v>
      </c>
      <c r="G48" s="95"/>
      <c r="H48" s="100"/>
      <c r="I48" s="89"/>
    </row>
    <row r="49" customFormat="false" ht="15.75" hidden="true" customHeight="false" outlineLevel="0" collapsed="false">
      <c r="A49" s="87"/>
      <c r="B49" s="81" t="s">
        <v>112</v>
      </c>
      <c r="C49" s="111"/>
      <c r="D49" s="111"/>
      <c r="E49" s="111"/>
      <c r="F49" s="112" t="n">
        <f aca="false">SUM(C49:E49)</f>
        <v>0</v>
      </c>
      <c r="G49" s="95"/>
      <c r="H49" s="100"/>
      <c r="I49" s="89"/>
    </row>
    <row r="50" customFormat="false" ht="15" hidden="false" customHeight="true" outlineLevel="0" collapsed="false">
      <c r="A50" s="87" t="s">
        <v>118</v>
      </c>
      <c r="B50" s="107" t="s">
        <v>107</v>
      </c>
      <c r="C50" s="113"/>
      <c r="D50" s="113"/>
      <c r="E50" s="113"/>
      <c r="F50" s="114" t="n">
        <f aca="false">SUM(C50:E50)</f>
        <v>0</v>
      </c>
      <c r="G50" s="95"/>
      <c r="H50" s="100"/>
      <c r="I50" s="89"/>
    </row>
    <row r="51" customFormat="false" ht="15.75" hidden="false" customHeight="false" outlineLevel="0" collapsed="false">
      <c r="A51" s="87"/>
      <c r="B51" s="107" t="s">
        <v>112</v>
      </c>
      <c r="C51" s="82"/>
      <c r="D51" s="82"/>
      <c r="E51" s="82"/>
      <c r="F51" s="115" t="n">
        <f aca="false">SUM(C51:E51)</f>
        <v>0</v>
      </c>
      <c r="G51" s="95"/>
      <c r="H51" s="105"/>
      <c r="I51" s="106"/>
    </row>
    <row r="52" customFormat="false" ht="15" hidden="true" customHeight="true" outlineLevel="0" collapsed="false">
      <c r="A52" s="87" t="s">
        <v>119</v>
      </c>
      <c r="B52" s="107" t="s">
        <v>107</v>
      </c>
      <c r="C52" s="82"/>
      <c r="D52" s="82"/>
      <c r="E52" s="82"/>
      <c r="F52" s="115" t="n">
        <f aca="false">SUM(C52:E52)</f>
        <v>0</v>
      </c>
      <c r="G52" s="10"/>
      <c r="H52" s="116"/>
      <c r="I52" s="116"/>
    </row>
    <row r="53" customFormat="false" ht="15.75" hidden="true" customHeight="false" outlineLevel="0" collapsed="false">
      <c r="A53" s="87"/>
      <c r="B53" s="107" t="s">
        <v>112</v>
      </c>
      <c r="C53" s="82"/>
      <c r="D53" s="82"/>
      <c r="E53" s="82"/>
      <c r="F53" s="115" t="n">
        <f aca="false">SUM(C53:E53)</f>
        <v>0</v>
      </c>
      <c r="G53" s="10"/>
      <c r="H53" s="117"/>
      <c r="I53" s="117"/>
    </row>
    <row r="54" customFormat="false" ht="15" hidden="false" customHeight="true" outlineLevel="0" collapsed="false">
      <c r="A54" s="87" t="s">
        <v>120</v>
      </c>
      <c r="B54" s="107" t="s">
        <v>107</v>
      </c>
      <c r="C54" s="82"/>
      <c r="D54" s="82"/>
      <c r="E54" s="82"/>
      <c r="F54" s="115" t="n">
        <f aca="false">SUM(C54:E54)</f>
        <v>0</v>
      </c>
      <c r="G54" s="10"/>
      <c r="H54" s="118"/>
      <c r="I54" s="118"/>
    </row>
    <row r="55" customFormat="false" ht="15.75" hidden="false" customHeight="false" outlineLevel="0" collapsed="false">
      <c r="A55" s="87"/>
      <c r="B55" s="107" t="s">
        <v>112</v>
      </c>
      <c r="C55" s="82"/>
      <c r="D55" s="82"/>
      <c r="E55" s="82"/>
      <c r="F55" s="115" t="n">
        <f aca="false">SUM(C55:E55)</f>
        <v>0</v>
      </c>
      <c r="G55" s="10"/>
      <c r="H55" s="119"/>
      <c r="I55" s="119"/>
    </row>
    <row r="56" customFormat="false" ht="15" hidden="true" customHeight="true" outlineLevel="0" collapsed="false">
      <c r="A56" s="87" t="s">
        <v>121</v>
      </c>
      <c r="B56" s="107" t="s">
        <v>107</v>
      </c>
      <c r="C56" s="82"/>
      <c r="D56" s="82"/>
      <c r="E56" s="82"/>
      <c r="F56" s="115" t="n">
        <f aca="false">SUM(C56:E56)</f>
        <v>0</v>
      </c>
      <c r="G56" s="10"/>
      <c r="H56" s="119"/>
      <c r="I56" s="119"/>
    </row>
    <row r="57" customFormat="false" ht="15" hidden="true" customHeight="false" outlineLevel="0" collapsed="false">
      <c r="A57" s="87"/>
      <c r="B57" s="107" t="s">
        <v>112</v>
      </c>
      <c r="C57" s="82"/>
      <c r="D57" s="82"/>
      <c r="E57" s="82"/>
      <c r="F57" s="115" t="n">
        <f aca="false">SUM(C57:E57)</f>
        <v>0</v>
      </c>
      <c r="G57" s="10"/>
      <c r="H57" s="119"/>
      <c r="I57" s="119"/>
    </row>
    <row r="58" customFormat="false" ht="15" hidden="false" customHeight="true" outlineLevel="0" collapsed="false">
      <c r="A58" s="87" t="s">
        <v>122</v>
      </c>
      <c r="B58" s="107" t="s">
        <v>107</v>
      </c>
      <c r="C58" s="82"/>
      <c r="D58" s="82"/>
      <c r="E58" s="82"/>
      <c r="F58" s="115" t="n">
        <f aca="false">SUM(C58:E58)</f>
        <v>0</v>
      </c>
      <c r="G58" s="10"/>
      <c r="H58" s="119"/>
      <c r="I58" s="119"/>
    </row>
    <row r="59" customFormat="false" ht="15.75" hidden="false" customHeight="false" outlineLevel="0" collapsed="false">
      <c r="A59" s="87"/>
      <c r="B59" s="107" t="s">
        <v>112</v>
      </c>
      <c r="C59" s="82"/>
      <c r="D59" s="82"/>
      <c r="E59" s="82"/>
      <c r="F59" s="83" t="n">
        <f aca="false">SUM(C59:E59)</f>
        <v>0</v>
      </c>
      <c r="G59" s="10"/>
      <c r="H59" s="119"/>
      <c r="I59" s="119"/>
    </row>
    <row r="60" customFormat="false" ht="15" hidden="false" customHeight="true" outlineLevel="0" collapsed="false">
      <c r="A60" s="87" t="s">
        <v>123</v>
      </c>
      <c r="B60" s="107" t="s">
        <v>107</v>
      </c>
      <c r="C60" s="82"/>
      <c r="D60" s="82"/>
      <c r="E60" s="82"/>
      <c r="F60" s="83" t="n">
        <f aca="false">SUM(C60:E60)</f>
        <v>0</v>
      </c>
      <c r="G60" s="10"/>
      <c r="H60" s="119"/>
      <c r="I60" s="119"/>
    </row>
    <row r="61" customFormat="false" ht="15" hidden="false" customHeight="false" outlineLevel="0" collapsed="false">
      <c r="A61" s="87"/>
      <c r="B61" s="107" t="s">
        <v>112</v>
      </c>
      <c r="C61" s="82"/>
      <c r="D61" s="82"/>
      <c r="E61" s="82"/>
      <c r="F61" s="83" t="n">
        <f aca="false">SUM(C61:E61)</f>
        <v>0</v>
      </c>
      <c r="G61" s="10"/>
      <c r="H61" s="119"/>
      <c r="I61" s="119"/>
    </row>
    <row r="62" customFormat="false" ht="15" hidden="false" customHeight="true" outlineLevel="0" collapsed="false">
      <c r="A62" s="87" t="s">
        <v>124</v>
      </c>
      <c r="B62" s="107" t="s">
        <v>107</v>
      </c>
      <c r="C62" s="82"/>
      <c r="D62" s="82"/>
      <c r="E62" s="82"/>
      <c r="F62" s="83" t="n">
        <f aca="false">SUM(C62:E62)</f>
        <v>0</v>
      </c>
      <c r="G62" s="10"/>
      <c r="H62" s="119"/>
      <c r="I62" s="119"/>
    </row>
    <row r="63" customFormat="false" ht="15" hidden="false" customHeight="false" outlineLevel="0" collapsed="false">
      <c r="A63" s="87"/>
      <c r="B63" s="107" t="s">
        <v>112</v>
      </c>
      <c r="C63" s="82"/>
      <c r="D63" s="82"/>
      <c r="E63" s="82"/>
      <c r="F63" s="83" t="n">
        <f aca="false">SUM(C63:E63)</f>
        <v>0</v>
      </c>
      <c r="G63" s="10"/>
      <c r="H63" s="119"/>
      <c r="I63" s="119"/>
    </row>
    <row r="64" customFormat="false" ht="15" hidden="false" customHeight="true" outlineLevel="0" collapsed="false">
      <c r="A64" s="87" t="s">
        <v>125</v>
      </c>
      <c r="B64" s="107" t="s">
        <v>107</v>
      </c>
      <c r="C64" s="82"/>
      <c r="D64" s="82"/>
      <c r="E64" s="82"/>
      <c r="F64" s="83" t="n">
        <f aca="false">SUM(C64:E64)</f>
        <v>0</v>
      </c>
      <c r="G64" s="10"/>
      <c r="H64" s="119"/>
      <c r="I64" s="119"/>
    </row>
    <row r="65" customFormat="false" ht="15" hidden="false" customHeight="false" outlineLevel="0" collapsed="false">
      <c r="A65" s="87"/>
      <c r="B65" s="107" t="s">
        <v>112</v>
      </c>
      <c r="C65" s="82"/>
      <c r="D65" s="82"/>
      <c r="E65" s="82"/>
      <c r="F65" s="83" t="n">
        <f aca="false">SUM(C65:E65)</f>
        <v>0</v>
      </c>
      <c r="G65" s="10"/>
      <c r="H65" s="119"/>
      <c r="I65" s="119"/>
    </row>
    <row r="66" customFormat="false" ht="15" hidden="false" customHeight="true" outlineLevel="0" collapsed="false">
      <c r="A66" s="87" t="s">
        <v>126</v>
      </c>
      <c r="B66" s="107" t="s">
        <v>107</v>
      </c>
      <c r="C66" s="82"/>
      <c r="D66" s="82"/>
      <c r="E66" s="82"/>
      <c r="F66" s="83" t="n">
        <f aca="false">SUM(C66:E66)</f>
        <v>0</v>
      </c>
      <c r="G66" s="10"/>
      <c r="H66" s="119"/>
      <c r="I66" s="119"/>
    </row>
    <row r="67" customFormat="false" ht="15" hidden="false" customHeight="false" outlineLevel="0" collapsed="false">
      <c r="A67" s="87"/>
      <c r="B67" s="107" t="s">
        <v>112</v>
      </c>
      <c r="C67" s="82"/>
      <c r="D67" s="82"/>
      <c r="E67" s="82"/>
      <c r="F67" s="83" t="n">
        <f aca="false">SUM(C67:E67)</f>
        <v>0</v>
      </c>
      <c r="G67" s="10"/>
      <c r="H67" s="119"/>
      <c r="I67" s="119"/>
    </row>
    <row r="68" customFormat="false" ht="15" hidden="false" customHeight="true" outlineLevel="0" collapsed="false">
      <c r="A68" s="87" t="s">
        <v>127</v>
      </c>
      <c r="B68" s="107" t="s">
        <v>107</v>
      </c>
      <c r="C68" s="82"/>
      <c r="D68" s="82"/>
      <c r="E68" s="82"/>
      <c r="F68" s="83" t="n">
        <f aca="false">SUM(C68:E68)</f>
        <v>0</v>
      </c>
      <c r="G68" s="10"/>
      <c r="H68" s="119"/>
      <c r="I68" s="119"/>
    </row>
    <row r="69" customFormat="false" ht="15" hidden="false" customHeight="false" outlineLevel="0" collapsed="false">
      <c r="A69" s="87"/>
      <c r="B69" s="107" t="s">
        <v>112</v>
      </c>
      <c r="C69" s="82"/>
      <c r="D69" s="82"/>
      <c r="E69" s="82"/>
      <c r="F69" s="83" t="n">
        <f aca="false">SUM(C69:E69)</f>
        <v>0</v>
      </c>
      <c r="G69" s="10"/>
      <c r="H69" s="119"/>
      <c r="I69" s="119"/>
    </row>
    <row r="70" customFormat="false" ht="15" hidden="false" customHeight="true" outlineLevel="0" collapsed="false">
      <c r="A70" s="87" t="s">
        <v>128</v>
      </c>
      <c r="B70" s="120" t="s">
        <v>107</v>
      </c>
      <c r="C70" s="82"/>
      <c r="D70" s="82"/>
      <c r="E70" s="82"/>
      <c r="F70" s="83" t="n">
        <f aca="false">SUM(C70:E70)</f>
        <v>0</v>
      </c>
      <c r="G70" s="10"/>
      <c r="H70" s="119"/>
      <c r="I70" s="119"/>
    </row>
    <row r="71" customFormat="false" ht="15" hidden="false" customHeight="false" outlineLevel="0" collapsed="false">
      <c r="A71" s="87"/>
      <c r="B71" s="120" t="s">
        <v>112</v>
      </c>
      <c r="C71" s="82"/>
      <c r="D71" s="82"/>
      <c r="E71" s="82"/>
      <c r="F71" s="83" t="n">
        <f aca="false">SUM(C71:E71)</f>
        <v>0</v>
      </c>
      <c r="G71" s="10"/>
      <c r="H71" s="119"/>
      <c r="I71" s="119"/>
    </row>
    <row r="72" s="19" customFormat="true" ht="15.75" hidden="false" customHeight="true" outlineLevel="0" collapsed="false">
      <c r="A72" s="121" t="s">
        <v>129</v>
      </c>
      <c r="B72" s="122" t="s">
        <v>101</v>
      </c>
      <c r="C72" s="83" t="n">
        <f aca="false">SUM(C35,C38,C42,C46,C50,C54,C58,C60,C62,C64,C66,C68,C70)</f>
        <v>0</v>
      </c>
      <c r="D72" s="83" t="n">
        <f aca="false">SUM(D35,D38,D42,D46,D50,D54,D58,D60,D62,D64,D66,D68,D70)</f>
        <v>0</v>
      </c>
      <c r="E72" s="83" t="n">
        <f aca="false">SUM(E35,E38,E42,E46,E50,E54,E58,E60,E62,E64,E66,E68,E70)</f>
        <v>0</v>
      </c>
      <c r="F72" s="123" t="n">
        <f aca="false">SUM(C72:E72)</f>
        <v>0</v>
      </c>
      <c r="G72" s="10"/>
      <c r="H72" s="123" t="n">
        <f aca="false">SUM(H35,H38,H42,H46,H50,H54,H58,H60,H62,H64,H66,H68,H70)</f>
        <v>0</v>
      </c>
      <c r="I72" s="123" t="n">
        <f aca="false">SUM(I35,I38,I42,I46,I50,I54,I58,I60,I62,I64,I66,I68,I70)</f>
        <v>0</v>
      </c>
    </row>
    <row r="73" customFormat="false" ht="15.75" hidden="false" customHeight="false" outlineLevel="0" collapsed="false">
      <c r="A73" s="121"/>
      <c r="B73" s="124" t="s">
        <v>112</v>
      </c>
      <c r="C73" s="83" t="n">
        <f aca="false">SUM(C36,C39,C43,C47,C51,C55,C59,C61,C63,C65,C67,C69,C71)</f>
        <v>0</v>
      </c>
      <c r="D73" s="83" t="n">
        <f aca="false">SUM(D36,D39,D43,D47,D51,D55,D59,D61,D63,D65,D67,D69,D71)</f>
        <v>0</v>
      </c>
      <c r="E73" s="83" t="n">
        <f aca="false">SUM(E36,E39,E43,E47,E51,E55,E59,E61,E63,E65,E67,E69,E71)</f>
        <v>0</v>
      </c>
      <c r="F73" s="123" t="n">
        <f aca="false">SUM(C73:E73)</f>
        <v>0</v>
      </c>
      <c r="G73" s="10"/>
      <c r="H73" s="123" t="n">
        <f aca="false">SUM(H36,H39,H43,H47,H51,H55,H59,H61,H63,H65,H67,H69,H71)</f>
        <v>0</v>
      </c>
      <c r="I73" s="123" t="n">
        <f aca="false">SUM(I36,I39,I43,I47,I51,I55,I59,I61,I63,I65,I67,I69,I71)</f>
        <v>0</v>
      </c>
    </row>
    <row r="74" customFormat="false" ht="30" hidden="false" customHeight="true" outlineLevel="0" collapsed="false">
      <c r="A74" s="13" t="s">
        <v>130</v>
      </c>
      <c r="B74" s="13"/>
      <c r="C74" s="125"/>
      <c r="D74" s="111"/>
      <c r="E74" s="126" t="str">
        <f aca="false">IF(AND(OR(D72&gt;0,D73&gt;0,)),"Please complete annual steady state","")</f>
        <v/>
      </c>
      <c r="F74" s="126"/>
      <c r="G74" s="10"/>
      <c r="H74" s="10"/>
      <c r="I74" s="10"/>
    </row>
    <row r="75" customFormat="false" ht="30" hidden="false" customHeight="true" outlineLevel="0" collapsed="false">
      <c r="A75" s="13" t="s">
        <v>131</v>
      </c>
      <c r="B75" s="13"/>
      <c r="C75" s="18"/>
      <c r="D75" s="18"/>
      <c r="E75" s="127" t="str">
        <f aca="false">IF(C75="","Please complete using drop down","")</f>
        <v>Please complete using drop down</v>
      </c>
      <c r="F75" s="10"/>
      <c r="G75" s="10"/>
      <c r="H75" s="10"/>
      <c r="I75" s="10"/>
    </row>
    <row r="76" customFormat="false" ht="6.75" hidden="false" customHeight="true" outlineLevel="0" collapsed="false">
      <c r="A76" s="35"/>
      <c r="B76" s="10"/>
      <c r="C76" s="10"/>
      <c r="D76" s="10"/>
      <c r="E76" s="10"/>
      <c r="F76" s="10"/>
      <c r="G76" s="10"/>
      <c r="H76" s="10"/>
      <c r="I76" s="10"/>
    </row>
    <row r="77" customFormat="false" ht="200.1" hidden="false" customHeight="true" outlineLevel="0" collapsed="false">
      <c r="A77" s="43" t="s">
        <v>132</v>
      </c>
      <c r="B77" s="41"/>
      <c r="C77" s="41"/>
      <c r="D77" s="41"/>
      <c r="E77" s="41"/>
      <c r="F77" s="41"/>
      <c r="G77" s="41"/>
      <c r="H77" s="41"/>
      <c r="I77" s="41"/>
    </row>
    <row r="78" customFormat="false" ht="6.75" hidden="false" customHeight="true" outlineLevel="0" collapsed="false">
      <c r="A78" s="10"/>
      <c r="B78" s="10"/>
      <c r="C78" s="10"/>
      <c r="D78" s="10"/>
      <c r="E78" s="10"/>
      <c r="F78" s="10"/>
      <c r="G78" s="10"/>
      <c r="H78" s="10"/>
      <c r="I78" s="10"/>
    </row>
    <row r="79" customFormat="false" ht="82.5" hidden="false" customHeight="true" outlineLevel="0" collapsed="false">
      <c r="A79" s="43" t="s">
        <v>133</v>
      </c>
      <c r="B79" s="76" t="s">
        <v>93</v>
      </c>
      <c r="C79" s="77" t="s">
        <v>134</v>
      </c>
      <c r="D79" s="77" t="s">
        <v>135</v>
      </c>
      <c r="E79" s="77" t="s">
        <v>136</v>
      </c>
      <c r="F79" s="78" t="s">
        <v>137</v>
      </c>
      <c r="G79" s="10"/>
      <c r="H79" s="10"/>
      <c r="I79" s="10"/>
    </row>
    <row r="80" customFormat="false" ht="15.75" hidden="true" customHeight="true" outlineLevel="0" collapsed="false">
      <c r="A80" s="80" t="s">
        <v>100</v>
      </c>
      <c r="B80" s="81" t="s">
        <v>101</v>
      </c>
      <c r="C80" s="82"/>
      <c r="D80" s="82"/>
      <c r="E80" s="82"/>
      <c r="F80" s="128" t="n">
        <f aca="false">SUM(C80:E80)</f>
        <v>0</v>
      </c>
      <c r="G80" s="10"/>
      <c r="H80" s="10"/>
      <c r="I80" s="10"/>
    </row>
    <row r="81" customFormat="false" ht="15.75" hidden="true" customHeight="true" outlineLevel="0" collapsed="false">
      <c r="A81" s="80"/>
      <c r="B81" s="81" t="s">
        <v>102</v>
      </c>
      <c r="C81" s="82"/>
      <c r="D81" s="82"/>
      <c r="E81" s="82"/>
      <c r="F81" s="128" t="n">
        <f aca="false">SUM(C81:E81)</f>
        <v>0</v>
      </c>
      <c r="G81" s="10"/>
      <c r="H81" s="10"/>
      <c r="I81" s="10"/>
    </row>
    <row r="82" customFormat="false" ht="15.75" hidden="true" customHeight="true" outlineLevel="0" collapsed="false">
      <c r="A82" s="80" t="s">
        <v>103</v>
      </c>
      <c r="B82" s="81" t="s">
        <v>101</v>
      </c>
      <c r="C82" s="82"/>
      <c r="D82" s="82"/>
      <c r="E82" s="82"/>
      <c r="F82" s="128" t="n">
        <f aca="false">SUM(C82:E82)</f>
        <v>0</v>
      </c>
      <c r="G82" s="10"/>
      <c r="H82" s="10"/>
      <c r="I82" s="10"/>
    </row>
    <row r="83" customFormat="false" ht="15.75" hidden="true" customHeight="true" outlineLevel="0" collapsed="false">
      <c r="A83" s="80"/>
      <c r="B83" s="81" t="s">
        <v>102</v>
      </c>
      <c r="C83" s="82"/>
      <c r="D83" s="82"/>
      <c r="E83" s="82"/>
      <c r="F83" s="128" t="n">
        <f aca="false">SUM(C83:E83)</f>
        <v>0</v>
      </c>
      <c r="G83" s="10"/>
      <c r="H83" s="10"/>
      <c r="I83" s="10"/>
    </row>
    <row r="84" customFormat="false" ht="15.75" hidden="true" customHeight="true" outlineLevel="0" collapsed="false">
      <c r="A84" s="80" t="s">
        <v>104</v>
      </c>
      <c r="B84" s="81" t="s">
        <v>101</v>
      </c>
      <c r="C84" s="82"/>
      <c r="D84" s="82"/>
      <c r="E84" s="82"/>
      <c r="F84" s="128" t="n">
        <f aca="false">SUM(C84:E84)</f>
        <v>0</v>
      </c>
      <c r="G84" s="10"/>
      <c r="H84" s="10"/>
      <c r="I84" s="10"/>
    </row>
    <row r="85" customFormat="false" ht="15.75" hidden="true" customHeight="true" outlineLevel="0" collapsed="false">
      <c r="A85" s="80"/>
      <c r="B85" s="81" t="s">
        <v>102</v>
      </c>
      <c r="C85" s="82"/>
      <c r="D85" s="82"/>
      <c r="E85" s="82"/>
      <c r="F85" s="128" t="n">
        <f aca="false">SUM(C85:E85)</f>
        <v>0</v>
      </c>
      <c r="G85" s="10"/>
      <c r="H85" s="10"/>
      <c r="I85" s="10"/>
    </row>
    <row r="86" customFormat="false" ht="15.75" hidden="true" customHeight="true" outlineLevel="0" collapsed="false">
      <c r="A86" s="80" t="s">
        <v>105</v>
      </c>
      <c r="B86" s="81" t="s">
        <v>101</v>
      </c>
      <c r="C86" s="82"/>
      <c r="D86" s="82"/>
      <c r="E86" s="82"/>
      <c r="F86" s="128" t="n">
        <f aca="false">SUM(C86:E86)</f>
        <v>0</v>
      </c>
      <c r="G86" s="10"/>
      <c r="H86" s="10"/>
      <c r="I86" s="10"/>
    </row>
    <row r="87" customFormat="false" ht="15.75" hidden="true" customHeight="true" outlineLevel="0" collapsed="false">
      <c r="A87" s="80"/>
      <c r="B87" s="81" t="s">
        <v>102</v>
      </c>
      <c r="C87" s="82"/>
      <c r="D87" s="82"/>
      <c r="E87" s="82"/>
      <c r="F87" s="128" t="n">
        <f aca="false">SUM(C87:E87)</f>
        <v>0</v>
      </c>
      <c r="G87" s="10"/>
      <c r="H87" s="10"/>
      <c r="I87" s="10"/>
    </row>
    <row r="88" customFormat="false" ht="15.75" hidden="false" customHeight="true" outlineLevel="0" collapsed="false">
      <c r="A88" s="87" t="s">
        <v>106</v>
      </c>
      <c r="B88" s="81" t="s">
        <v>107</v>
      </c>
      <c r="C88" s="82"/>
      <c r="D88" s="88"/>
      <c r="E88" s="88"/>
      <c r="F88" s="128" t="n">
        <f aca="false">SUM(C88:E88)</f>
        <v>0</v>
      </c>
      <c r="G88" s="10"/>
      <c r="H88" s="10"/>
      <c r="I88" s="10"/>
    </row>
    <row r="89" customFormat="false" ht="15.75" hidden="false" customHeight="false" outlineLevel="0" collapsed="false">
      <c r="A89" s="87"/>
      <c r="B89" s="81" t="s">
        <v>102</v>
      </c>
      <c r="C89" s="82"/>
      <c r="D89" s="82"/>
      <c r="E89" s="82"/>
      <c r="F89" s="128" t="n">
        <f aca="false">SUM(C89:E89)</f>
        <v>0</v>
      </c>
      <c r="G89" s="10"/>
      <c r="H89" s="10"/>
      <c r="I89" s="10"/>
    </row>
    <row r="90" customFormat="false" ht="29.25" hidden="false" customHeight="true" outlineLevel="0" collapsed="false">
      <c r="A90" s="43" t="s">
        <v>108</v>
      </c>
      <c r="B90" s="81" t="s">
        <v>109</v>
      </c>
      <c r="C90" s="111"/>
      <c r="D90" s="91"/>
      <c r="E90" s="91"/>
      <c r="F90" s="91"/>
      <c r="G90" s="10"/>
      <c r="H90" s="10"/>
      <c r="I90" s="10"/>
    </row>
    <row r="91" customFormat="false" ht="15.75" hidden="false" customHeight="true" outlineLevel="0" collapsed="false">
      <c r="A91" s="87" t="s">
        <v>110</v>
      </c>
      <c r="B91" s="81" t="s">
        <v>107</v>
      </c>
      <c r="C91" s="129"/>
      <c r="D91" s="113"/>
      <c r="E91" s="113"/>
      <c r="F91" s="130" t="n">
        <f aca="false">SUM(C91:E91)</f>
        <v>0</v>
      </c>
      <c r="G91" s="131" t="s">
        <v>138</v>
      </c>
      <c r="H91" s="10"/>
      <c r="I91" s="10"/>
    </row>
    <row r="92" customFormat="false" ht="15.75" hidden="false" customHeight="false" outlineLevel="0" collapsed="false">
      <c r="A92" s="87"/>
      <c r="B92" s="81" t="s">
        <v>112</v>
      </c>
      <c r="C92" s="132"/>
      <c r="D92" s="82"/>
      <c r="E92" s="82"/>
      <c r="F92" s="128" t="n">
        <f aca="false">SUM(C92:E92)</f>
        <v>0</v>
      </c>
      <c r="G92" s="131"/>
      <c r="H92" s="10"/>
      <c r="I92" s="10"/>
    </row>
    <row r="93" customFormat="false" ht="15" hidden="true" customHeight="true" outlineLevel="0" collapsed="false">
      <c r="A93" s="87" t="s">
        <v>113</v>
      </c>
      <c r="B93" s="81" t="s">
        <v>107</v>
      </c>
      <c r="C93" s="132"/>
      <c r="D93" s="82"/>
      <c r="E93" s="82"/>
      <c r="F93" s="128" t="n">
        <f aca="false">SUM(C93:E93)</f>
        <v>0</v>
      </c>
      <c r="G93" s="131"/>
      <c r="H93" s="10"/>
      <c r="I93" s="10"/>
    </row>
    <row r="94" customFormat="false" ht="15.75" hidden="true" customHeight="false" outlineLevel="0" collapsed="false">
      <c r="A94" s="87"/>
      <c r="B94" s="81" t="s">
        <v>112</v>
      </c>
      <c r="C94" s="132"/>
      <c r="D94" s="82"/>
      <c r="E94" s="82"/>
      <c r="F94" s="128" t="n">
        <f aca="false">SUM(C94:E94)</f>
        <v>0</v>
      </c>
      <c r="G94" s="131"/>
      <c r="H94" s="10"/>
      <c r="I94" s="10"/>
    </row>
    <row r="95" customFormat="false" ht="15" hidden="false" customHeight="true" outlineLevel="0" collapsed="false">
      <c r="A95" s="87" t="s">
        <v>114</v>
      </c>
      <c r="B95" s="81" t="s">
        <v>107</v>
      </c>
      <c r="C95" s="132"/>
      <c r="D95" s="82"/>
      <c r="E95" s="82"/>
      <c r="F95" s="128" t="n">
        <f aca="false">SUM(C95:E95)</f>
        <v>0</v>
      </c>
      <c r="G95" s="131"/>
      <c r="H95" s="10"/>
      <c r="I95" s="10"/>
    </row>
    <row r="96" customFormat="false" ht="15.75" hidden="false" customHeight="false" outlineLevel="0" collapsed="false">
      <c r="A96" s="87"/>
      <c r="B96" s="81" t="s">
        <v>112</v>
      </c>
      <c r="C96" s="132"/>
      <c r="D96" s="82"/>
      <c r="E96" s="82"/>
      <c r="F96" s="128" t="n">
        <f aca="false">SUM(C96:E96)</f>
        <v>0</v>
      </c>
      <c r="G96" s="131"/>
      <c r="H96" s="10"/>
      <c r="I96" s="10"/>
    </row>
    <row r="97" customFormat="false" ht="15" hidden="true" customHeight="true" outlineLevel="0" collapsed="false">
      <c r="A97" s="87" t="s">
        <v>115</v>
      </c>
      <c r="B97" s="81" t="s">
        <v>107</v>
      </c>
      <c r="C97" s="132"/>
      <c r="D97" s="82"/>
      <c r="E97" s="82"/>
      <c r="F97" s="128" t="n">
        <f aca="false">SUM(C97:E97)</f>
        <v>0</v>
      </c>
      <c r="G97" s="131"/>
      <c r="H97" s="10"/>
      <c r="I97" s="10"/>
    </row>
    <row r="98" customFormat="false" ht="15" hidden="true" customHeight="false" outlineLevel="0" collapsed="false">
      <c r="A98" s="87"/>
      <c r="B98" s="81" t="s">
        <v>112</v>
      </c>
      <c r="C98" s="132"/>
      <c r="D98" s="82"/>
      <c r="E98" s="82"/>
      <c r="F98" s="128" t="n">
        <f aca="false">SUM(C98:E98)</f>
        <v>0</v>
      </c>
      <c r="G98" s="131"/>
      <c r="H98" s="10"/>
      <c r="I98" s="10"/>
    </row>
    <row r="99" customFormat="false" ht="15" hidden="false" customHeight="true" outlineLevel="0" collapsed="false">
      <c r="A99" s="87" t="s">
        <v>116</v>
      </c>
      <c r="B99" s="81" t="s">
        <v>107</v>
      </c>
      <c r="C99" s="132"/>
      <c r="D99" s="82"/>
      <c r="E99" s="82"/>
      <c r="F99" s="128" t="n">
        <f aca="false">SUM(C99:E99)</f>
        <v>0</v>
      </c>
      <c r="G99" s="131"/>
      <c r="H99" s="10"/>
      <c r="I99" s="10"/>
    </row>
    <row r="100" customFormat="false" ht="15.75" hidden="false" customHeight="false" outlineLevel="0" collapsed="false">
      <c r="A100" s="87"/>
      <c r="B100" s="81" t="s">
        <v>112</v>
      </c>
      <c r="C100" s="132"/>
      <c r="D100" s="82"/>
      <c r="E100" s="82"/>
      <c r="F100" s="128" t="n">
        <f aca="false">SUM(C100:E100)</f>
        <v>0</v>
      </c>
      <c r="G100" s="131"/>
      <c r="H100" s="10"/>
      <c r="I100" s="10"/>
    </row>
    <row r="101" customFormat="false" ht="15" hidden="true" customHeight="true" outlineLevel="0" collapsed="false">
      <c r="A101" s="87" t="s">
        <v>117</v>
      </c>
      <c r="B101" s="81" t="s">
        <v>107</v>
      </c>
      <c r="C101" s="132"/>
      <c r="D101" s="82"/>
      <c r="E101" s="82"/>
      <c r="F101" s="128" t="n">
        <f aca="false">SUM(C101:E101)</f>
        <v>0</v>
      </c>
      <c r="G101" s="131"/>
      <c r="H101" s="10"/>
      <c r="I101" s="10"/>
    </row>
    <row r="102" customFormat="false" ht="15" hidden="true" customHeight="false" outlineLevel="0" collapsed="false">
      <c r="A102" s="87"/>
      <c r="B102" s="81" t="s">
        <v>112</v>
      </c>
      <c r="C102" s="132"/>
      <c r="D102" s="82"/>
      <c r="E102" s="82"/>
      <c r="F102" s="128" t="n">
        <f aca="false">SUM(C102:E102)</f>
        <v>0</v>
      </c>
      <c r="G102" s="131"/>
      <c r="H102" s="10"/>
      <c r="I102" s="10"/>
    </row>
    <row r="103" customFormat="false" ht="15" hidden="false" customHeight="true" outlineLevel="0" collapsed="false">
      <c r="A103" s="87" t="s">
        <v>118</v>
      </c>
      <c r="B103" s="81" t="s">
        <v>107</v>
      </c>
      <c r="C103" s="132"/>
      <c r="D103" s="82"/>
      <c r="E103" s="82"/>
      <c r="F103" s="128" t="n">
        <f aca="false">SUM(C103:E103)</f>
        <v>0</v>
      </c>
      <c r="G103" s="131"/>
      <c r="H103" s="10"/>
      <c r="I103" s="10"/>
    </row>
    <row r="104" customFormat="false" ht="15.75" hidden="false" customHeight="false" outlineLevel="0" collapsed="false">
      <c r="A104" s="87"/>
      <c r="B104" s="81" t="s">
        <v>112</v>
      </c>
      <c r="C104" s="133"/>
      <c r="D104" s="134"/>
      <c r="E104" s="134"/>
      <c r="F104" s="135" t="n">
        <f aca="false">SUM(C104:E104)</f>
        <v>0</v>
      </c>
      <c r="G104" s="131"/>
      <c r="H104" s="10"/>
      <c r="I104" s="10"/>
    </row>
    <row r="105" customFormat="false" ht="15" hidden="true" customHeight="true" outlineLevel="0" collapsed="false">
      <c r="A105" s="87" t="s">
        <v>119</v>
      </c>
      <c r="B105" s="81" t="s">
        <v>107</v>
      </c>
      <c r="C105" s="136"/>
      <c r="D105" s="137"/>
      <c r="E105" s="137"/>
      <c r="F105" s="138" t="n">
        <f aca="false">SUM(C105:E105)</f>
        <v>0</v>
      </c>
      <c r="G105" s="10"/>
      <c r="H105" s="10"/>
      <c r="I105" s="10"/>
    </row>
    <row r="106" customFormat="false" ht="15.75" hidden="true" customHeight="false" outlineLevel="0" collapsed="false">
      <c r="A106" s="87"/>
      <c r="B106" s="81" t="s">
        <v>112</v>
      </c>
      <c r="C106" s="111"/>
      <c r="D106" s="111"/>
      <c r="E106" s="111"/>
      <c r="F106" s="138" t="n">
        <f aca="false">SUM(C106:E106)</f>
        <v>0</v>
      </c>
      <c r="G106" s="10"/>
      <c r="H106" s="10"/>
      <c r="I106" s="10"/>
    </row>
    <row r="107" customFormat="false" ht="15" hidden="false" customHeight="true" outlineLevel="0" collapsed="false">
      <c r="A107" s="87" t="s">
        <v>120</v>
      </c>
      <c r="B107" s="81" t="s">
        <v>107</v>
      </c>
      <c r="C107" s="139"/>
      <c r="D107" s="140"/>
      <c r="E107" s="140"/>
      <c r="F107" s="138" t="n">
        <f aca="false">SUM(C107:E107)</f>
        <v>0</v>
      </c>
      <c r="G107" s="10"/>
      <c r="H107" s="10"/>
      <c r="I107" s="10"/>
    </row>
    <row r="108" customFormat="false" ht="15.75" hidden="false" customHeight="false" outlineLevel="0" collapsed="false">
      <c r="A108" s="87"/>
      <c r="B108" s="81" t="s">
        <v>112</v>
      </c>
      <c r="C108" s="82"/>
      <c r="D108" s="82"/>
      <c r="E108" s="82"/>
      <c r="F108" s="138" t="n">
        <f aca="false">SUM(C108:E108)</f>
        <v>0</v>
      </c>
      <c r="G108" s="10"/>
      <c r="H108" s="10"/>
      <c r="I108" s="10"/>
    </row>
    <row r="109" customFormat="false" ht="15" hidden="true" customHeight="true" outlineLevel="0" collapsed="false">
      <c r="A109" s="87" t="s">
        <v>121</v>
      </c>
      <c r="B109" s="81" t="s">
        <v>107</v>
      </c>
      <c r="C109" s="82"/>
      <c r="D109" s="82"/>
      <c r="E109" s="82"/>
      <c r="F109" s="138" t="n">
        <f aca="false">SUM(C109:E109)</f>
        <v>0</v>
      </c>
      <c r="G109" s="10"/>
      <c r="H109" s="10"/>
      <c r="I109" s="10"/>
    </row>
    <row r="110" customFormat="false" ht="15" hidden="true" customHeight="false" outlineLevel="0" collapsed="false">
      <c r="A110" s="87"/>
      <c r="B110" s="81" t="s">
        <v>112</v>
      </c>
      <c r="C110" s="82"/>
      <c r="D110" s="82"/>
      <c r="E110" s="82"/>
      <c r="F110" s="138" t="n">
        <f aca="false">SUM(C110:E110)</f>
        <v>0</v>
      </c>
      <c r="G110" s="10"/>
      <c r="H110" s="10"/>
      <c r="I110" s="10"/>
    </row>
    <row r="111" customFormat="false" ht="15" hidden="false" customHeight="true" outlineLevel="0" collapsed="false">
      <c r="A111" s="87" t="s">
        <v>122</v>
      </c>
      <c r="B111" s="81" t="s">
        <v>107</v>
      </c>
      <c r="C111" s="82"/>
      <c r="D111" s="82"/>
      <c r="E111" s="82"/>
      <c r="F111" s="138" t="n">
        <f aca="false">SUM(C111:E111)</f>
        <v>0</v>
      </c>
      <c r="G111" s="10"/>
      <c r="H111" s="10"/>
      <c r="I111" s="10"/>
    </row>
    <row r="112" customFormat="false" ht="15.75" hidden="false" customHeight="false" outlineLevel="0" collapsed="false">
      <c r="A112" s="87"/>
      <c r="B112" s="81" t="s">
        <v>112</v>
      </c>
      <c r="C112" s="82"/>
      <c r="D112" s="82"/>
      <c r="E112" s="82"/>
      <c r="F112" s="138" t="n">
        <f aca="false">SUM(C112:E112)</f>
        <v>0</v>
      </c>
      <c r="G112" s="141"/>
      <c r="H112" s="141"/>
      <c r="I112" s="141"/>
    </row>
    <row r="113" customFormat="false" ht="15" hidden="false" customHeight="true" outlineLevel="0" collapsed="false">
      <c r="A113" s="87" t="s">
        <v>123</v>
      </c>
      <c r="B113" s="81" t="s">
        <v>107</v>
      </c>
      <c r="C113" s="82"/>
      <c r="D113" s="82"/>
      <c r="E113" s="82"/>
      <c r="F113" s="138" t="n">
        <f aca="false">SUM(C113:E113)</f>
        <v>0</v>
      </c>
      <c r="G113" s="142"/>
      <c r="H113" s="141"/>
      <c r="I113" s="141"/>
      <c r="J113" s="5"/>
    </row>
    <row r="114" customFormat="false" ht="15" hidden="false" customHeight="false" outlineLevel="0" collapsed="false">
      <c r="A114" s="87"/>
      <c r="B114" s="81" t="s">
        <v>112</v>
      </c>
      <c r="C114" s="82"/>
      <c r="D114" s="82"/>
      <c r="E114" s="82"/>
      <c r="F114" s="138" t="n">
        <f aca="false">SUM(C114:E114)</f>
        <v>0</v>
      </c>
      <c r="G114" s="142"/>
      <c r="H114" s="142"/>
      <c r="I114" s="142"/>
      <c r="J114" s="5"/>
    </row>
    <row r="115" customFormat="false" ht="15" hidden="false" customHeight="true" outlineLevel="0" collapsed="false">
      <c r="A115" s="87" t="s">
        <v>124</v>
      </c>
      <c r="B115" s="81" t="s">
        <v>107</v>
      </c>
      <c r="C115" s="82"/>
      <c r="D115" s="82"/>
      <c r="E115" s="82"/>
      <c r="F115" s="138" t="n">
        <f aca="false">SUM(C115:E115)</f>
        <v>0</v>
      </c>
      <c r="G115" s="142"/>
      <c r="H115" s="142"/>
      <c r="I115" s="142"/>
      <c r="J115" s="5"/>
    </row>
    <row r="116" customFormat="false" ht="15" hidden="false" customHeight="false" outlineLevel="0" collapsed="false">
      <c r="A116" s="87"/>
      <c r="B116" s="81" t="s">
        <v>112</v>
      </c>
      <c r="C116" s="82"/>
      <c r="D116" s="82"/>
      <c r="E116" s="82"/>
      <c r="F116" s="138" t="n">
        <f aca="false">SUM(C116:E116)</f>
        <v>0</v>
      </c>
      <c r="G116" s="142"/>
      <c r="H116" s="142"/>
      <c r="I116" s="142"/>
      <c r="J116" s="5"/>
    </row>
    <row r="117" customFormat="false" ht="15" hidden="false" customHeight="true" outlineLevel="0" collapsed="false">
      <c r="A117" s="87" t="s">
        <v>125</v>
      </c>
      <c r="B117" s="81" t="s">
        <v>107</v>
      </c>
      <c r="C117" s="82"/>
      <c r="D117" s="82"/>
      <c r="E117" s="82"/>
      <c r="F117" s="138" t="n">
        <f aca="false">SUM(C117:E117)</f>
        <v>0</v>
      </c>
      <c r="G117" s="141"/>
      <c r="H117" s="142"/>
      <c r="I117" s="142"/>
    </row>
    <row r="118" customFormat="false" ht="15" hidden="false" customHeight="false" outlineLevel="0" collapsed="false">
      <c r="A118" s="87"/>
      <c r="B118" s="81" t="s">
        <v>112</v>
      </c>
      <c r="C118" s="82"/>
      <c r="D118" s="82"/>
      <c r="E118" s="82"/>
      <c r="F118" s="138" t="n">
        <f aca="false">SUM(C118:E118)</f>
        <v>0</v>
      </c>
      <c r="G118" s="10"/>
      <c r="H118" s="10"/>
      <c r="I118" s="10"/>
    </row>
    <row r="119" customFormat="false" ht="15" hidden="false" customHeight="true" outlineLevel="0" collapsed="false">
      <c r="A119" s="87" t="s">
        <v>126</v>
      </c>
      <c r="B119" s="81" t="s">
        <v>107</v>
      </c>
      <c r="C119" s="82"/>
      <c r="D119" s="82"/>
      <c r="E119" s="82"/>
      <c r="F119" s="138" t="n">
        <f aca="false">SUM(C119:E119)</f>
        <v>0</v>
      </c>
      <c r="G119" s="143"/>
      <c r="H119" s="143"/>
      <c r="I119" s="143"/>
    </row>
    <row r="120" customFormat="false" ht="15" hidden="false" customHeight="false" outlineLevel="0" collapsed="false">
      <c r="A120" s="87"/>
      <c r="B120" s="81" t="s">
        <v>112</v>
      </c>
      <c r="C120" s="82"/>
      <c r="D120" s="82"/>
      <c r="E120" s="82"/>
      <c r="F120" s="138" t="n">
        <f aca="false">SUM(C120:E120)</f>
        <v>0</v>
      </c>
      <c r="G120" s="10"/>
      <c r="H120" s="10"/>
      <c r="I120" s="10"/>
    </row>
    <row r="121" customFormat="false" ht="15" hidden="false" customHeight="true" outlineLevel="0" collapsed="false">
      <c r="A121" s="87" t="s">
        <v>127</v>
      </c>
      <c r="B121" s="81" t="s">
        <v>107</v>
      </c>
      <c r="C121" s="82"/>
      <c r="D121" s="82"/>
      <c r="E121" s="82"/>
      <c r="F121" s="138" t="n">
        <f aca="false">SUM(C121:E121)</f>
        <v>0</v>
      </c>
      <c r="G121" s="10"/>
      <c r="H121" s="10"/>
      <c r="I121" s="10"/>
    </row>
    <row r="122" customFormat="false" ht="15" hidden="false" customHeight="false" outlineLevel="0" collapsed="false">
      <c r="A122" s="87"/>
      <c r="B122" s="81" t="s">
        <v>112</v>
      </c>
      <c r="C122" s="82"/>
      <c r="D122" s="82"/>
      <c r="E122" s="82"/>
      <c r="F122" s="138" t="n">
        <f aca="false">SUM(C122:E122)</f>
        <v>0</v>
      </c>
      <c r="G122" s="10"/>
      <c r="H122" s="10"/>
      <c r="I122" s="10"/>
    </row>
    <row r="123" customFormat="false" ht="15" hidden="false" customHeight="true" outlineLevel="0" collapsed="false">
      <c r="A123" s="87" t="s">
        <v>128</v>
      </c>
      <c r="B123" s="81" t="s">
        <v>107</v>
      </c>
      <c r="C123" s="82"/>
      <c r="D123" s="82"/>
      <c r="E123" s="82"/>
      <c r="F123" s="138" t="n">
        <f aca="false">SUM(C123:E123)</f>
        <v>0</v>
      </c>
      <c r="G123" s="10"/>
      <c r="H123" s="10"/>
      <c r="I123" s="10"/>
    </row>
    <row r="124" customFormat="false" ht="15" hidden="false" customHeight="false" outlineLevel="0" collapsed="false">
      <c r="A124" s="87"/>
      <c r="B124" s="81" t="s">
        <v>112</v>
      </c>
      <c r="C124" s="82"/>
      <c r="D124" s="82"/>
      <c r="E124" s="82"/>
      <c r="F124" s="138" t="n">
        <f aca="false">SUM(C124:E124)</f>
        <v>0</v>
      </c>
      <c r="G124" s="10"/>
      <c r="H124" s="10"/>
      <c r="I124" s="10"/>
    </row>
    <row r="125" s="19" customFormat="true" ht="15.75" hidden="false" customHeight="true" outlineLevel="0" collapsed="false">
      <c r="A125" s="121" t="s">
        <v>129</v>
      </c>
      <c r="B125" s="122" t="s">
        <v>101</v>
      </c>
      <c r="C125" s="83" t="n">
        <f aca="false">SUM(C88,C91,C95,C99,C103,C107,C111,C113,C115,C117,C119,C121,C123)</f>
        <v>0</v>
      </c>
      <c r="D125" s="83" t="n">
        <f aca="false">SUM(D88,D91,D95,D99,D103,D107,D111,D113,D115,D117,D119,D121,D123)</f>
        <v>0</v>
      </c>
      <c r="E125" s="83" t="n">
        <f aca="false">SUM(E88,E91,E95,E99,E103,E107,E111,E113,E115,E117,E119,E121,E123)</f>
        <v>0</v>
      </c>
      <c r="F125" s="123" t="n">
        <f aca="false">SUM(C125:E125)</f>
        <v>0</v>
      </c>
      <c r="G125" s="10"/>
      <c r="H125" s="10"/>
      <c r="I125" s="10"/>
    </row>
    <row r="126" customFormat="false" ht="15.75" hidden="false" customHeight="false" outlineLevel="0" collapsed="false">
      <c r="A126" s="121"/>
      <c r="B126" s="124" t="s">
        <v>112</v>
      </c>
      <c r="C126" s="83" t="n">
        <f aca="false">SUM(C89,C92,C96,C100,C104,C108,C112,C114,C116,C118,C120,C122,C124)</f>
        <v>0</v>
      </c>
      <c r="D126" s="83" t="n">
        <f aca="false">SUM(D89,D92,D96,D100,D104,D108,D112,D114,D116,D118,D120,D122,D124)</f>
        <v>0</v>
      </c>
      <c r="E126" s="83" t="n">
        <f aca="false">SUM(E89,E92,E96,E100,E104,E108,E112,E114,E116,E118,E120,E122,E124)</f>
        <v>0</v>
      </c>
      <c r="F126" s="123" t="n">
        <f aca="false">SUM(C126:E126)</f>
        <v>0</v>
      </c>
      <c r="G126" s="10"/>
      <c r="H126" s="10"/>
      <c r="I126" s="10"/>
    </row>
    <row r="127" customFormat="false" ht="29.25" hidden="false" customHeight="true" outlineLevel="0" collapsed="false">
      <c r="A127" s="13" t="s">
        <v>130</v>
      </c>
      <c r="B127" s="13"/>
      <c r="C127" s="125"/>
      <c r="D127" s="90"/>
      <c r="E127" s="126" t="str">
        <f aca="false">IF(AND(OR(D125&gt;0,D126&gt;0,)),"Please complete annual steady state","")</f>
        <v/>
      </c>
      <c r="F127" s="126"/>
      <c r="G127" s="10"/>
      <c r="H127" s="10"/>
      <c r="I127" s="10"/>
    </row>
    <row r="128" customFormat="false" ht="29.25" hidden="false" customHeight="true" outlineLevel="0" collapsed="false">
      <c r="A128" s="13" t="s">
        <v>139</v>
      </c>
      <c r="B128" s="13"/>
      <c r="C128" s="18"/>
      <c r="D128" s="18"/>
      <c r="E128" s="31" t="str">
        <f aca="false">IF(C128="","Please complete using dropdown","")</f>
        <v>Please complete using dropdown</v>
      </c>
      <c r="F128" s="10"/>
      <c r="G128" s="10"/>
      <c r="H128" s="10"/>
      <c r="I128" s="10"/>
    </row>
    <row r="129" customFormat="false" ht="6" hidden="false" customHeight="true" outlineLevel="0" collapsed="false">
      <c r="A129" s="10"/>
      <c r="B129" s="10"/>
      <c r="C129" s="10"/>
      <c r="D129" s="10"/>
      <c r="E129" s="10"/>
      <c r="F129" s="10"/>
      <c r="G129" s="10"/>
      <c r="H129" s="10"/>
      <c r="I129" s="10"/>
    </row>
    <row r="130" customFormat="false" ht="214.5" hidden="false" customHeight="true" outlineLevel="0" collapsed="false">
      <c r="A130" s="43" t="s">
        <v>140</v>
      </c>
      <c r="B130" s="41"/>
      <c r="C130" s="41"/>
      <c r="D130" s="41"/>
      <c r="E130" s="41"/>
      <c r="F130" s="41"/>
      <c r="G130" s="41"/>
      <c r="H130" s="41"/>
      <c r="I130" s="41"/>
    </row>
    <row r="131" customFormat="false" ht="15" hidden="false" customHeight="false" outlineLevel="0" collapsed="false">
      <c r="A131" s="10"/>
      <c r="B131" s="10"/>
      <c r="C131" s="10"/>
      <c r="D131" s="10"/>
      <c r="E131" s="10"/>
      <c r="F131" s="10"/>
      <c r="G131" s="10"/>
      <c r="H131" s="10"/>
      <c r="I131" s="10"/>
    </row>
    <row r="132" s="19" customFormat="true" ht="45.75" hidden="false" customHeight="true" outlineLevel="0" collapsed="false">
      <c r="A132" s="10"/>
      <c r="B132" s="10"/>
      <c r="C132" s="144" t="s">
        <v>141</v>
      </c>
      <c r="D132" s="144" t="s">
        <v>142</v>
      </c>
      <c r="E132" s="144" t="s">
        <v>143</v>
      </c>
      <c r="F132" s="10"/>
      <c r="G132" s="144" t="s">
        <v>144</v>
      </c>
      <c r="H132" s="144" t="s">
        <v>141</v>
      </c>
      <c r="I132" s="144" t="s">
        <v>112</v>
      </c>
      <c r="J132" s="145"/>
      <c r="K132" s="145"/>
      <c r="L132" s="145"/>
    </row>
    <row r="133" customFormat="false" ht="21.75" hidden="false" customHeight="true" outlineLevel="0" collapsed="false">
      <c r="A133" s="146" t="s">
        <v>145</v>
      </c>
      <c r="B133" s="146"/>
      <c r="C133" s="147" t="n">
        <f aca="false">F72</f>
        <v>0</v>
      </c>
      <c r="D133" s="147" t="n">
        <f aca="false">F73</f>
        <v>0</v>
      </c>
      <c r="E133" s="147" t="n">
        <f aca="false">D133-C133</f>
        <v>0</v>
      </c>
      <c r="F133" s="10"/>
      <c r="G133" s="146" t="s">
        <v>145</v>
      </c>
      <c r="H133" s="147" t="n">
        <f aca="false">SUM(F38,F42,F46)</f>
        <v>0</v>
      </c>
      <c r="I133" s="147" t="n">
        <f aca="false">SUM(F39,F43,F47)</f>
        <v>0</v>
      </c>
      <c r="J133" s="145"/>
      <c r="K133" s="145"/>
      <c r="L133" s="145"/>
    </row>
    <row r="134" customFormat="false" ht="21.75" hidden="false" customHeight="true" outlineLevel="0" collapsed="false">
      <c r="A134" s="146" t="s">
        <v>146</v>
      </c>
      <c r="B134" s="146"/>
      <c r="C134" s="147" t="n">
        <f aca="false">F125</f>
        <v>0</v>
      </c>
      <c r="D134" s="147" t="n">
        <f aca="false">F126</f>
        <v>0</v>
      </c>
      <c r="E134" s="147" t="n">
        <f aca="false">D134-C134</f>
        <v>0</v>
      </c>
      <c r="F134" s="10"/>
      <c r="G134" s="146" t="s">
        <v>146</v>
      </c>
      <c r="H134" s="147" t="n">
        <f aca="false">SUM(F91,F95,F99,F103)</f>
        <v>0</v>
      </c>
      <c r="I134" s="147" t="n">
        <f aca="false">SUM(F92,F96,F100,F104)</f>
        <v>0</v>
      </c>
      <c r="J134" s="145"/>
      <c r="K134" s="145"/>
      <c r="L134" s="145"/>
    </row>
    <row r="135" customFormat="false" ht="21.75" hidden="false" customHeight="true" outlineLevel="0" collapsed="false">
      <c r="A135" s="146" t="s">
        <v>147</v>
      </c>
      <c r="B135" s="146"/>
      <c r="C135" s="147" t="n">
        <f aca="false">H72</f>
        <v>0</v>
      </c>
      <c r="D135" s="147" t="n">
        <f aca="false">H73</f>
        <v>0</v>
      </c>
      <c r="E135" s="147" t="n">
        <f aca="false">D135-C135</f>
        <v>0</v>
      </c>
      <c r="F135" s="10"/>
      <c r="G135" s="148" t="s">
        <v>147</v>
      </c>
      <c r="H135" s="147" t="n">
        <f aca="false">SUM(H38,H42,H46,H50)</f>
        <v>0</v>
      </c>
      <c r="I135" s="147" t="n">
        <f aca="false">SUM(H39,H43,H47,H51)</f>
        <v>0</v>
      </c>
      <c r="J135" s="145"/>
      <c r="K135" s="145"/>
      <c r="L135" s="145"/>
    </row>
    <row r="136" customFormat="false" ht="21.75" hidden="false" customHeight="true" outlineLevel="0" collapsed="false">
      <c r="A136" s="146" t="s">
        <v>148</v>
      </c>
      <c r="B136" s="146"/>
      <c r="C136" s="123" t="n">
        <f aca="false">SUM(C133:C135)</f>
        <v>0</v>
      </c>
      <c r="D136" s="123" t="n">
        <f aca="false">SUM(D133:D135)</f>
        <v>0</v>
      </c>
      <c r="E136" s="123" t="n">
        <f aca="false">SUM(E133:E135)</f>
        <v>0</v>
      </c>
      <c r="F136" s="10"/>
      <c r="G136" s="146" t="s">
        <v>148</v>
      </c>
      <c r="H136" s="147" t="n">
        <f aca="false">SUM(H133:H135)</f>
        <v>0</v>
      </c>
      <c r="I136" s="147" t="n">
        <f aca="false">SUM(I133:I135)</f>
        <v>0</v>
      </c>
      <c r="J136" s="145"/>
      <c r="K136" s="145"/>
      <c r="L136" s="145"/>
    </row>
    <row r="137" customFormat="false" ht="15" hidden="false" customHeight="false" outlineLevel="0" collapsed="false">
      <c r="A137" s="10"/>
      <c r="B137" s="10"/>
      <c r="C137" s="10"/>
      <c r="D137" s="10"/>
      <c r="E137" s="10"/>
      <c r="F137" s="10"/>
      <c r="G137" s="10"/>
      <c r="H137" s="10"/>
      <c r="I137" s="10"/>
    </row>
    <row r="138" customFormat="false" ht="15.75" hidden="false" customHeight="false" outlineLevel="0" collapsed="false">
      <c r="A138" s="149" t="s">
        <v>149</v>
      </c>
      <c r="B138" s="10"/>
      <c r="C138" s="10"/>
      <c r="D138" s="10"/>
      <c r="E138" s="35"/>
      <c r="F138" s="10"/>
      <c r="G138" s="10"/>
      <c r="H138" s="10"/>
      <c r="I138" s="10"/>
    </row>
    <row r="139" s="19" customFormat="true" ht="32.25" hidden="false" customHeight="true" outlineLevel="0" collapsed="false">
      <c r="A139" s="150" t="s">
        <v>150</v>
      </c>
      <c r="B139" s="10"/>
      <c r="C139" s="10"/>
      <c r="D139" s="10"/>
      <c r="E139" s="43" t="s">
        <v>151</v>
      </c>
      <c r="F139" s="151"/>
      <c r="G139" s="31" t="str">
        <f aca="false">IF(F139="","Please complete using dropdown","")</f>
        <v>Please complete using dropdown</v>
      </c>
      <c r="H139" s="10"/>
      <c r="I139" s="10"/>
    </row>
    <row r="140" customFormat="false" ht="32.25" hidden="false" customHeight="true" outlineLevel="0" collapsed="false">
      <c r="A140" s="10"/>
      <c r="B140" s="10"/>
      <c r="C140" s="10"/>
      <c r="D140" s="10"/>
      <c r="E140" s="43" t="s">
        <v>152</v>
      </c>
      <c r="F140" s="151"/>
      <c r="G140" s="31" t="str">
        <f aca="false">IF(F140="","Please complete using dropdown","")</f>
        <v>Please complete using dropdown</v>
      </c>
      <c r="H140" s="10"/>
      <c r="I140" s="10"/>
    </row>
    <row r="141" customFormat="false" ht="31.5" hidden="false" customHeight="true" outlineLevel="0" collapsed="false">
      <c r="A141" s="152" t="s">
        <v>153</v>
      </c>
      <c r="B141" s="152"/>
      <c r="C141" s="18"/>
      <c r="D141" s="153" t="str">
        <f aca="false">IF(C141="","Please complete using dropdown","")</f>
        <v>Please complete using dropdown</v>
      </c>
      <c r="E141" s="43" t="s">
        <v>154</v>
      </c>
      <c r="F141" s="151"/>
      <c r="G141" s="31" t="str">
        <f aca="false">IF(F141="","Please complete using dropdown","")</f>
        <v>Please complete using dropdown</v>
      </c>
      <c r="H141" s="10"/>
      <c r="I141" s="10"/>
    </row>
    <row r="142" customFormat="false" ht="6" hidden="false" customHeight="true" outlineLevel="0" collapsed="false">
      <c r="A142" s="10"/>
      <c r="B142" s="10"/>
      <c r="C142" s="10"/>
      <c r="D142" s="10"/>
      <c r="E142" s="10"/>
      <c r="F142" s="10"/>
      <c r="G142" s="10"/>
      <c r="H142" s="10"/>
      <c r="I142" s="10"/>
    </row>
    <row r="143" customFormat="false" ht="84" hidden="false" customHeight="true" outlineLevel="0" collapsed="false">
      <c r="A143" s="43" t="s">
        <v>155</v>
      </c>
      <c r="B143" s="76" t="s">
        <v>93</v>
      </c>
      <c r="C143" s="77" t="s">
        <v>156</v>
      </c>
      <c r="D143" s="77" t="s">
        <v>157</v>
      </c>
      <c r="E143" s="77" t="s">
        <v>158</v>
      </c>
      <c r="F143" s="77" t="s">
        <v>159</v>
      </c>
      <c r="G143" s="78" t="s">
        <v>160</v>
      </c>
      <c r="H143" s="10"/>
      <c r="I143" s="10"/>
    </row>
    <row r="144" customFormat="false" ht="15.75" hidden="true" customHeight="true" outlineLevel="0" collapsed="false">
      <c r="A144" s="80" t="s">
        <v>100</v>
      </c>
      <c r="B144" s="154" t="s">
        <v>101</v>
      </c>
      <c r="C144" s="82"/>
      <c r="D144" s="82"/>
      <c r="E144" s="82"/>
      <c r="F144" s="82"/>
      <c r="G144" s="83" t="n">
        <f aca="false">SUM(C144:E144)</f>
        <v>0</v>
      </c>
      <c r="H144" s="10"/>
      <c r="I144" s="10"/>
    </row>
    <row r="145" customFormat="false" ht="15.75" hidden="true" customHeight="true" outlineLevel="0" collapsed="false">
      <c r="A145" s="80"/>
      <c r="B145" s="154" t="s">
        <v>102</v>
      </c>
      <c r="C145" s="82"/>
      <c r="D145" s="82"/>
      <c r="E145" s="82"/>
      <c r="F145" s="82"/>
      <c r="G145" s="83" t="n">
        <f aca="false">SUM(C145:E145)</f>
        <v>0</v>
      </c>
      <c r="H145" s="10"/>
      <c r="I145" s="10"/>
    </row>
    <row r="146" customFormat="false" ht="15.75" hidden="true" customHeight="true" outlineLevel="0" collapsed="false">
      <c r="A146" s="80" t="s">
        <v>103</v>
      </c>
      <c r="B146" s="154" t="s">
        <v>101</v>
      </c>
      <c r="C146" s="82"/>
      <c r="D146" s="82"/>
      <c r="E146" s="82"/>
      <c r="F146" s="82"/>
      <c r="G146" s="83" t="n">
        <f aca="false">SUM(C146:E146)</f>
        <v>0</v>
      </c>
      <c r="H146" s="10"/>
      <c r="I146" s="10"/>
    </row>
    <row r="147" customFormat="false" ht="15.75" hidden="true" customHeight="true" outlineLevel="0" collapsed="false">
      <c r="A147" s="80"/>
      <c r="B147" s="154" t="s">
        <v>102</v>
      </c>
      <c r="C147" s="82"/>
      <c r="D147" s="82"/>
      <c r="E147" s="82"/>
      <c r="F147" s="82"/>
      <c r="G147" s="83" t="n">
        <f aca="false">SUM(C147:E147)</f>
        <v>0</v>
      </c>
      <c r="H147" s="10"/>
      <c r="I147" s="10"/>
    </row>
    <row r="148" customFormat="false" ht="15.75" hidden="true" customHeight="true" outlineLevel="0" collapsed="false">
      <c r="A148" s="80" t="s">
        <v>104</v>
      </c>
      <c r="B148" s="154" t="s">
        <v>101</v>
      </c>
      <c r="C148" s="82"/>
      <c r="D148" s="82"/>
      <c r="E148" s="82"/>
      <c r="F148" s="82"/>
      <c r="G148" s="83" t="n">
        <f aca="false">SUM(C148:E148)</f>
        <v>0</v>
      </c>
      <c r="H148" s="10"/>
      <c r="I148" s="10"/>
    </row>
    <row r="149" customFormat="false" ht="15.75" hidden="true" customHeight="true" outlineLevel="0" collapsed="false">
      <c r="A149" s="80"/>
      <c r="B149" s="154" t="s">
        <v>102</v>
      </c>
      <c r="C149" s="82"/>
      <c r="D149" s="82"/>
      <c r="E149" s="82"/>
      <c r="F149" s="82"/>
      <c r="G149" s="83" t="n">
        <f aca="false">SUM(C149:E149)</f>
        <v>0</v>
      </c>
      <c r="H149" s="10"/>
      <c r="I149" s="10"/>
    </row>
    <row r="150" customFormat="false" ht="15.75" hidden="true" customHeight="true" outlineLevel="0" collapsed="false">
      <c r="A150" s="80" t="s">
        <v>105</v>
      </c>
      <c r="B150" s="154" t="s">
        <v>101</v>
      </c>
      <c r="C150" s="82"/>
      <c r="D150" s="82"/>
      <c r="E150" s="82"/>
      <c r="F150" s="82"/>
      <c r="G150" s="83" t="n">
        <f aca="false">SUM(C150:E150)</f>
        <v>0</v>
      </c>
      <c r="H150" s="10"/>
      <c r="I150" s="10"/>
    </row>
    <row r="151" customFormat="false" ht="15.75" hidden="true" customHeight="true" outlineLevel="0" collapsed="false">
      <c r="A151" s="80"/>
      <c r="B151" s="154" t="s">
        <v>102</v>
      </c>
      <c r="C151" s="82"/>
      <c r="D151" s="82"/>
      <c r="E151" s="82"/>
      <c r="F151" s="82"/>
      <c r="G151" s="83" t="n">
        <f aca="false">SUM(C151:E151)</f>
        <v>0</v>
      </c>
      <c r="H151" s="10"/>
      <c r="I151" s="10"/>
    </row>
    <row r="152" customFormat="false" ht="15" hidden="false" customHeight="true" outlineLevel="0" collapsed="false">
      <c r="A152" s="87" t="s">
        <v>106</v>
      </c>
      <c r="B152" s="154" t="s">
        <v>101</v>
      </c>
      <c r="C152" s="82"/>
      <c r="D152" s="82"/>
      <c r="E152" s="82"/>
      <c r="F152" s="82"/>
      <c r="G152" s="83" t="n">
        <f aca="false">SUM(C152:E152)</f>
        <v>0</v>
      </c>
      <c r="H152" s="10"/>
      <c r="I152" s="10"/>
    </row>
    <row r="153" customFormat="false" ht="15.75" hidden="false" customHeight="false" outlineLevel="0" collapsed="false">
      <c r="A153" s="87"/>
      <c r="B153" s="154" t="s">
        <v>102</v>
      </c>
      <c r="C153" s="82"/>
      <c r="D153" s="82"/>
      <c r="E153" s="82"/>
      <c r="F153" s="82"/>
      <c r="G153" s="83" t="n">
        <f aca="false">SUM(C153:E153)</f>
        <v>0</v>
      </c>
      <c r="H153" s="10"/>
      <c r="I153" s="10"/>
    </row>
    <row r="154" customFormat="false" ht="15" hidden="false" customHeight="true" outlineLevel="0" collapsed="false">
      <c r="A154" s="87" t="s">
        <v>110</v>
      </c>
      <c r="B154" s="154" t="s">
        <v>101</v>
      </c>
      <c r="C154" s="82"/>
      <c r="D154" s="82"/>
      <c r="E154" s="82"/>
      <c r="F154" s="82"/>
      <c r="G154" s="83" t="n">
        <f aca="false">SUM(C154:E154)</f>
        <v>0</v>
      </c>
      <c r="H154" s="10"/>
      <c r="I154" s="10"/>
    </row>
    <row r="155" customFormat="false" ht="15.75" hidden="false" customHeight="false" outlineLevel="0" collapsed="false">
      <c r="A155" s="87"/>
      <c r="B155" s="154" t="s">
        <v>112</v>
      </c>
      <c r="C155" s="82"/>
      <c r="D155" s="82"/>
      <c r="E155" s="82"/>
      <c r="F155" s="82"/>
      <c r="G155" s="83" t="n">
        <f aca="false">SUM(C155:E155)</f>
        <v>0</v>
      </c>
      <c r="H155" s="10"/>
      <c r="I155" s="10"/>
    </row>
    <row r="156" customFormat="false" ht="15" hidden="true" customHeight="true" outlineLevel="0" collapsed="false">
      <c r="A156" s="87" t="s">
        <v>113</v>
      </c>
      <c r="B156" s="154" t="s">
        <v>107</v>
      </c>
      <c r="C156" s="82"/>
      <c r="D156" s="82"/>
      <c r="E156" s="82"/>
      <c r="F156" s="82"/>
      <c r="G156" s="83" t="n">
        <f aca="false">SUM(C156:E156)</f>
        <v>0</v>
      </c>
      <c r="H156" s="10"/>
      <c r="I156" s="10"/>
    </row>
    <row r="157" customFormat="false" ht="15" hidden="true" customHeight="false" outlineLevel="0" collapsed="false">
      <c r="A157" s="87"/>
      <c r="B157" s="154" t="s">
        <v>102</v>
      </c>
      <c r="C157" s="82"/>
      <c r="D157" s="82"/>
      <c r="E157" s="82"/>
      <c r="F157" s="82"/>
      <c r="G157" s="83" t="n">
        <f aca="false">SUM(C157:E157)</f>
        <v>0</v>
      </c>
      <c r="H157" s="10"/>
      <c r="I157" s="10"/>
    </row>
    <row r="158" customFormat="false" ht="15" hidden="false" customHeight="true" outlineLevel="0" collapsed="false">
      <c r="A158" s="87" t="s">
        <v>114</v>
      </c>
      <c r="B158" s="154" t="s">
        <v>101</v>
      </c>
      <c r="C158" s="82"/>
      <c r="D158" s="82"/>
      <c r="E158" s="82"/>
      <c r="F158" s="82"/>
      <c r="G158" s="83" t="n">
        <f aca="false">SUM(C158:E158)</f>
        <v>0</v>
      </c>
      <c r="H158" s="10"/>
      <c r="I158" s="10"/>
    </row>
    <row r="159" customFormat="false" ht="15.75" hidden="false" customHeight="false" outlineLevel="0" collapsed="false">
      <c r="A159" s="87"/>
      <c r="B159" s="154" t="s">
        <v>112</v>
      </c>
      <c r="C159" s="82"/>
      <c r="D159" s="82"/>
      <c r="E159" s="82"/>
      <c r="F159" s="82"/>
      <c r="G159" s="83" t="n">
        <f aca="false">SUM(C159:E159)</f>
        <v>0</v>
      </c>
      <c r="H159" s="10"/>
      <c r="I159" s="10"/>
    </row>
    <row r="160" customFormat="false" ht="15" hidden="true" customHeight="true" outlineLevel="0" collapsed="false">
      <c r="A160" s="87" t="s">
        <v>115</v>
      </c>
      <c r="B160" s="154" t="s">
        <v>107</v>
      </c>
      <c r="C160" s="82"/>
      <c r="D160" s="82"/>
      <c r="E160" s="82"/>
      <c r="F160" s="82"/>
      <c r="G160" s="83" t="n">
        <f aca="false">SUM(C160:E160)</f>
        <v>0</v>
      </c>
      <c r="H160" s="10"/>
      <c r="I160" s="10"/>
    </row>
    <row r="161" customFormat="false" ht="15" hidden="true" customHeight="false" outlineLevel="0" collapsed="false">
      <c r="A161" s="87"/>
      <c r="B161" s="154" t="s">
        <v>102</v>
      </c>
      <c r="C161" s="82"/>
      <c r="D161" s="82"/>
      <c r="E161" s="82"/>
      <c r="F161" s="82"/>
      <c r="G161" s="83" t="n">
        <f aca="false">SUM(C161:E161)</f>
        <v>0</v>
      </c>
      <c r="H161" s="10"/>
      <c r="I161" s="10"/>
    </row>
    <row r="162" customFormat="false" ht="15" hidden="false" customHeight="true" outlineLevel="0" collapsed="false">
      <c r="A162" s="87" t="s">
        <v>116</v>
      </c>
      <c r="B162" s="154" t="s">
        <v>101</v>
      </c>
      <c r="C162" s="82"/>
      <c r="D162" s="82"/>
      <c r="E162" s="82"/>
      <c r="F162" s="82"/>
      <c r="G162" s="83" t="n">
        <f aca="false">SUM(C162:E162)</f>
        <v>0</v>
      </c>
      <c r="H162" s="10"/>
      <c r="I162" s="10"/>
    </row>
    <row r="163" customFormat="false" ht="15.75" hidden="false" customHeight="false" outlineLevel="0" collapsed="false">
      <c r="A163" s="87"/>
      <c r="B163" s="154" t="s">
        <v>112</v>
      </c>
      <c r="C163" s="82"/>
      <c r="D163" s="82"/>
      <c r="E163" s="82"/>
      <c r="F163" s="82"/>
      <c r="G163" s="83" t="n">
        <f aca="false">SUM(C163:E163)</f>
        <v>0</v>
      </c>
      <c r="H163" s="10"/>
      <c r="I163" s="10"/>
    </row>
    <row r="164" customFormat="false" ht="15" hidden="true" customHeight="true" outlineLevel="0" collapsed="false">
      <c r="A164" s="87" t="s">
        <v>117</v>
      </c>
      <c r="B164" s="154" t="s">
        <v>107</v>
      </c>
      <c r="C164" s="137"/>
      <c r="D164" s="137"/>
      <c r="E164" s="137"/>
      <c r="F164" s="137"/>
      <c r="G164" s="83" t="n">
        <f aca="false">SUM(C164:E164)</f>
        <v>0</v>
      </c>
      <c r="H164" s="10"/>
      <c r="I164" s="10"/>
    </row>
    <row r="165" customFormat="false" ht="15" hidden="true" customHeight="false" outlineLevel="0" collapsed="false">
      <c r="A165" s="87"/>
      <c r="B165" s="154" t="s">
        <v>102</v>
      </c>
      <c r="C165" s="137"/>
      <c r="D165" s="137"/>
      <c r="E165" s="137"/>
      <c r="F165" s="137"/>
      <c r="G165" s="83" t="n">
        <f aca="false">SUM(C165:E165)</f>
        <v>0</v>
      </c>
      <c r="H165" s="10"/>
      <c r="I165" s="10"/>
    </row>
    <row r="166" customFormat="false" ht="15" hidden="false" customHeight="true" outlineLevel="0" collapsed="false">
      <c r="A166" s="87" t="s">
        <v>118</v>
      </c>
      <c r="B166" s="154" t="s">
        <v>101</v>
      </c>
      <c r="C166" s="137"/>
      <c r="D166" s="137"/>
      <c r="E166" s="137"/>
      <c r="F166" s="137"/>
      <c r="G166" s="155" t="n">
        <f aca="false">SUM(C166:E166)</f>
        <v>0</v>
      </c>
      <c r="H166" s="10"/>
      <c r="I166" s="10"/>
    </row>
    <row r="167" customFormat="false" ht="15.75" hidden="false" customHeight="false" outlineLevel="0" collapsed="false">
      <c r="A167" s="87"/>
      <c r="B167" s="154" t="s">
        <v>112</v>
      </c>
      <c r="C167" s="82"/>
      <c r="D167" s="82"/>
      <c r="E167" s="82"/>
      <c r="F167" s="82"/>
      <c r="G167" s="83" t="n">
        <f aca="false">SUM(C167:E167)</f>
        <v>0</v>
      </c>
      <c r="H167" s="10"/>
      <c r="I167" s="10"/>
    </row>
    <row r="168" customFormat="false" ht="15" hidden="true" customHeight="true" outlineLevel="0" collapsed="false">
      <c r="A168" s="87" t="s">
        <v>119</v>
      </c>
      <c r="B168" s="154" t="s">
        <v>101</v>
      </c>
      <c r="C168" s="82"/>
      <c r="D168" s="82"/>
      <c r="E168" s="82"/>
      <c r="F168" s="82"/>
      <c r="G168" s="83" t="n">
        <f aca="false">SUM(C168:E168)</f>
        <v>0</v>
      </c>
      <c r="H168" s="10"/>
      <c r="I168" s="10"/>
    </row>
    <row r="169" customFormat="false" ht="15" hidden="true" customHeight="false" outlineLevel="0" collapsed="false">
      <c r="A169" s="87"/>
      <c r="B169" s="154" t="s">
        <v>102</v>
      </c>
      <c r="C169" s="82"/>
      <c r="D169" s="82"/>
      <c r="E169" s="82"/>
      <c r="F169" s="82"/>
      <c r="G169" s="83" t="n">
        <f aca="false">SUM(C169:E169)</f>
        <v>0</v>
      </c>
      <c r="H169" s="10"/>
      <c r="I169" s="10"/>
    </row>
    <row r="170" customFormat="false" ht="15" hidden="false" customHeight="true" outlineLevel="0" collapsed="false">
      <c r="A170" s="87" t="s">
        <v>120</v>
      </c>
      <c r="B170" s="154" t="s">
        <v>101</v>
      </c>
      <c r="C170" s="82"/>
      <c r="D170" s="82"/>
      <c r="E170" s="82"/>
      <c r="F170" s="82"/>
      <c r="G170" s="83" t="n">
        <f aca="false">SUM(C170:E170)</f>
        <v>0</v>
      </c>
      <c r="H170" s="10"/>
      <c r="I170" s="10"/>
    </row>
    <row r="171" customFormat="false" ht="15.75" hidden="false" customHeight="false" outlineLevel="0" collapsed="false">
      <c r="A171" s="87"/>
      <c r="B171" s="154" t="s">
        <v>112</v>
      </c>
      <c r="C171" s="82"/>
      <c r="D171" s="82"/>
      <c r="E171" s="82"/>
      <c r="F171" s="82"/>
      <c r="G171" s="83" t="n">
        <f aca="false">SUM(C171:E171)</f>
        <v>0</v>
      </c>
      <c r="H171" s="10"/>
      <c r="I171" s="10"/>
    </row>
    <row r="172" customFormat="false" ht="15" hidden="true" customHeight="true" outlineLevel="0" collapsed="false">
      <c r="A172" s="87" t="s">
        <v>121</v>
      </c>
      <c r="B172" s="154" t="s">
        <v>101</v>
      </c>
      <c r="C172" s="82"/>
      <c r="D172" s="82"/>
      <c r="E172" s="82"/>
      <c r="F172" s="82"/>
      <c r="G172" s="83" t="n">
        <f aca="false">SUM(C172:E172)</f>
        <v>0</v>
      </c>
      <c r="H172" s="10"/>
      <c r="I172" s="10"/>
    </row>
    <row r="173" customFormat="false" ht="15" hidden="true" customHeight="false" outlineLevel="0" collapsed="false">
      <c r="A173" s="87"/>
      <c r="B173" s="154" t="s">
        <v>102</v>
      </c>
      <c r="C173" s="82"/>
      <c r="D173" s="82"/>
      <c r="E173" s="82"/>
      <c r="F173" s="82"/>
      <c r="G173" s="83" t="n">
        <f aca="false">SUM(C173:E173)</f>
        <v>0</v>
      </c>
      <c r="H173" s="10"/>
      <c r="I173" s="10"/>
    </row>
    <row r="174" customFormat="false" ht="15" hidden="false" customHeight="true" outlineLevel="0" collapsed="false">
      <c r="A174" s="87" t="s">
        <v>122</v>
      </c>
      <c r="B174" s="154" t="s">
        <v>101</v>
      </c>
      <c r="C174" s="82"/>
      <c r="D174" s="82"/>
      <c r="E174" s="82"/>
      <c r="F174" s="82"/>
      <c r="G174" s="83" t="n">
        <f aca="false">SUM(C174:E174)</f>
        <v>0</v>
      </c>
      <c r="H174" s="10"/>
      <c r="I174" s="10"/>
    </row>
    <row r="175" customFormat="false" ht="15.75" hidden="false" customHeight="false" outlineLevel="0" collapsed="false">
      <c r="A175" s="87"/>
      <c r="B175" s="154" t="s">
        <v>102</v>
      </c>
      <c r="C175" s="82"/>
      <c r="D175" s="82"/>
      <c r="E175" s="82"/>
      <c r="F175" s="82"/>
      <c r="G175" s="83" t="n">
        <f aca="false">SUM(C175:E175)</f>
        <v>0</v>
      </c>
      <c r="H175" s="10"/>
      <c r="I175" s="10"/>
    </row>
    <row r="176" customFormat="false" ht="15" hidden="false" customHeight="true" outlineLevel="0" collapsed="false">
      <c r="A176" s="87" t="s">
        <v>123</v>
      </c>
      <c r="B176" s="154" t="s">
        <v>101</v>
      </c>
      <c r="C176" s="82"/>
      <c r="D176" s="82"/>
      <c r="E176" s="82"/>
      <c r="F176" s="82"/>
      <c r="G176" s="83" t="n">
        <f aca="false">SUM(D176:F176)</f>
        <v>0</v>
      </c>
      <c r="H176" s="10"/>
      <c r="I176" s="10"/>
    </row>
    <row r="177" customFormat="false" ht="15" hidden="false" customHeight="false" outlineLevel="0" collapsed="false">
      <c r="A177" s="87"/>
      <c r="B177" s="154" t="s">
        <v>112</v>
      </c>
      <c r="C177" s="82"/>
      <c r="D177" s="82"/>
      <c r="E177" s="82"/>
      <c r="F177" s="82"/>
      <c r="G177" s="83" t="n">
        <f aca="false">SUM(D177:F177)</f>
        <v>0</v>
      </c>
      <c r="H177" s="10"/>
      <c r="I177" s="10"/>
    </row>
    <row r="178" customFormat="false" ht="15" hidden="false" customHeight="true" outlineLevel="0" collapsed="false">
      <c r="A178" s="87" t="s">
        <v>124</v>
      </c>
      <c r="B178" s="154" t="s">
        <v>101</v>
      </c>
      <c r="C178" s="82"/>
      <c r="D178" s="82"/>
      <c r="E178" s="82"/>
      <c r="F178" s="82"/>
      <c r="G178" s="83" t="n">
        <f aca="false">SUM(D178:F178)</f>
        <v>0</v>
      </c>
      <c r="H178" s="10"/>
      <c r="I178" s="10"/>
    </row>
    <row r="179" customFormat="false" ht="15" hidden="false" customHeight="false" outlineLevel="0" collapsed="false">
      <c r="A179" s="87"/>
      <c r="B179" s="154" t="s">
        <v>112</v>
      </c>
      <c r="C179" s="82"/>
      <c r="D179" s="82"/>
      <c r="E179" s="82"/>
      <c r="F179" s="82"/>
      <c r="G179" s="83" t="n">
        <f aca="false">SUM(D179:F179)</f>
        <v>0</v>
      </c>
      <c r="H179" s="10"/>
      <c r="I179" s="10"/>
    </row>
    <row r="180" customFormat="false" ht="15" hidden="false" customHeight="true" outlineLevel="0" collapsed="false">
      <c r="A180" s="87" t="s">
        <v>125</v>
      </c>
      <c r="B180" s="154" t="s">
        <v>101</v>
      </c>
      <c r="C180" s="82"/>
      <c r="D180" s="82"/>
      <c r="E180" s="82"/>
      <c r="F180" s="82"/>
      <c r="G180" s="83" t="n">
        <f aca="false">SUM(D180:F180)</f>
        <v>0</v>
      </c>
      <c r="H180" s="10"/>
      <c r="I180" s="10"/>
    </row>
    <row r="181" customFormat="false" ht="15" hidden="false" customHeight="false" outlineLevel="0" collapsed="false">
      <c r="A181" s="87"/>
      <c r="B181" s="154" t="s">
        <v>112</v>
      </c>
      <c r="C181" s="82"/>
      <c r="D181" s="82"/>
      <c r="E181" s="82"/>
      <c r="F181" s="82"/>
      <c r="G181" s="83" t="n">
        <f aca="false">SUM(D181:F181)</f>
        <v>0</v>
      </c>
      <c r="H181" s="10"/>
      <c r="I181" s="10"/>
    </row>
    <row r="182" customFormat="false" ht="15" hidden="false" customHeight="true" outlineLevel="0" collapsed="false">
      <c r="A182" s="87" t="s">
        <v>126</v>
      </c>
      <c r="B182" s="154" t="s">
        <v>101</v>
      </c>
      <c r="C182" s="82"/>
      <c r="D182" s="82"/>
      <c r="E182" s="82"/>
      <c r="F182" s="82"/>
      <c r="G182" s="83" t="n">
        <f aca="false">SUM(D182:F182)</f>
        <v>0</v>
      </c>
      <c r="H182" s="10"/>
      <c r="I182" s="10"/>
    </row>
    <row r="183" customFormat="false" ht="15" hidden="false" customHeight="false" outlineLevel="0" collapsed="false">
      <c r="A183" s="87"/>
      <c r="B183" s="154" t="s">
        <v>112</v>
      </c>
      <c r="C183" s="82"/>
      <c r="D183" s="82"/>
      <c r="E183" s="82"/>
      <c r="F183" s="82"/>
      <c r="G183" s="83" t="n">
        <f aca="false">SUM(D183:F183)</f>
        <v>0</v>
      </c>
      <c r="H183" s="10"/>
      <c r="I183" s="10"/>
    </row>
    <row r="184" customFormat="false" ht="15" hidden="false" customHeight="true" outlineLevel="0" collapsed="false">
      <c r="A184" s="87" t="s">
        <v>127</v>
      </c>
      <c r="B184" s="154" t="s">
        <v>101</v>
      </c>
      <c r="C184" s="82"/>
      <c r="D184" s="82"/>
      <c r="E184" s="82"/>
      <c r="F184" s="82"/>
      <c r="G184" s="83" t="n">
        <f aca="false">SUM(D184:F184)</f>
        <v>0</v>
      </c>
      <c r="H184" s="10"/>
      <c r="I184" s="10"/>
    </row>
    <row r="185" customFormat="false" ht="15" hidden="false" customHeight="false" outlineLevel="0" collapsed="false">
      <c r="A185" s="87"/>
      <c r="B185" s="154" t="s">
        <v>112</v>
      </c>
      <c r="C185" s="82"/>
      <c r="D185" s="82"/>
      <c r="E185" s="82"/>
      <c r="F185" s="82"/>
      <c r="G185" s="83" t="n">
        <f aca="false">SUM(D185:F185)</f>
        <v>0</v>
      </c>
      <c r="H185" s="10"/>
      <c r="I185" s="10"/>
    </row>
    <row r="186" customFormat="false" ht="15.75" hidden="false" customHeight="true" outlineLevel="0" collapsed="false">
      <c r="A186" s="87" t="s">
        <v>161</v>
      </c>
      <c r="B186" s="154" t="s">
        <v>101</v>
      </c>
      <c r="C186" s="82"/>
      <c r="D186" s="82"/>
      <c r="E186" s="82"/>
      <c r="F186" s="82"/>
      <c r="G186" s="83" t="n">
        <f aca="false">SUM(C186:E186)</f>
        <v>0</v>
      </c>
      <c r="H186" s="10"/>
      <c r="I186" s="10"/>
    </row>
    <row r="187" customFormat="false" ht="15" hidden="false" customHeight="false" outlineLevel="0" collapsed="false">
      <c r="A187" s="87"/>
      <c r="B187" s="154" t="s">
        <v>112</v>
      </c>
      <c r="C187" s="82"/>
      <c r="D187" s="82"/>
      <c r="E187" s="82"/>
      <c r="F187" s="82"/>
      <c r="G187" s="83" t="n">
        <f aca="false">SUM(C187:E187)</f>
        <v>0</v>
      </c>
      <c r="H187" s="10"/>
      <c r="I187" s="10"/>
    </row>
    <row r="188" customFormat="false" ht="16.5" hidden="false" customHeight="true" outlineLevel="0" collapsed="false">
      <c r="A188" s="121" t="s">
        <v>129</v>
      </c>
      <c r="B188" s="156" t="s">
        <v>101</v>
      </c>
      <c r="C188" s="83" t="n">
        <f aca="false">SUM(C152,C154,C158,C162,C166,C170,C174,C176,C178,C180,C182,C184,C186)</f>
        <v>0</v>
      </c>
      <c r="D188" s="83" t="n">
        <f aca="false">SUM(D152,D154,D158,D162,D166,D170,D174,D176,D178,D180,D182,D184,D186)</f>
        <v>0</v>
      </c>
      <c r="E188" s="83" t="n">
        <f aca="false">SUM(E152,E154,E158,E162,E166,E170,E174,E176,E178,E180,E182,E184,E186)</f>
        <v>0</v>
      </c>
      <c r="F188" s="83" t="n">
        <f aca="false">SUM(F152,F154,F158,F162,F166,F170,F174,F176,F178,F180,F182,F184,F186)</f>
        <v>0</v>
      </c>
      <c r="G188" s="123" t="n">
        <f aca="false">SUM(C188:E188)</f>
        <v>0</v>
      </c>
      <c r="H188" s="10"/>
      <c r="I188" s="10"/>
    </row>
    <row r="189" customFormat="false" ht="15.75" hidden="false" customHeight="false" outlineLevel="0" collapsed="false">
      <c r="A189" s="121"/>
      <c r="B189" s="157" t="s">
        <v>162</v>
      </c>
      <c r="C189" s="83" t="n">
        <f aca="false">SUM(C153,C155,C159,C163,C167,C171,C175,C177,C179,C181,C183,C185,C187)</f>
        <v>0</v>
      </c>
      <c r="D189" s="83" t="n">
        <f aca="false">SUM(D153,D155,D159,D163,D167,D171,D175,D177,D179,D181,D183,D185,D187)</f>
        <v>0</v>
      </c>
      <c r="E189" s="83" t="n">
        <f aca="false">SUM(E153,E155,E159,E163,E167,E171,E175,E177,E179,E181,E183,E185,E187)</f>
        <v>0</v>
      </c>
      <c r="F189" s="83" t="n">
        <f aca="false">SUM(F153,F155,F159,F163,F167,F171,F175,F177,F179,F181,F183,F185,F187)</f>
        <v>0</v>
      </c>
      <c r="G189" s="123" t="n">
        <f aca="false">SUM(C189:E189)</f>
        <v>0</v>
      </c>
      <c r="H189" s="10"/>
      <c r="I189" s="10"/>
    </row>
    <row r="190" s="19" customFormat="true" ht="15" hidden="false" customHeight="false" outlineLevel="0" collapsed="false">
      <c r="A190" s="10"/>
      <c r="B190" s="10"/>
      <c r="C190" s="10"/>
      <c r="D190" s="10"/>
      <c r="E190" s="10"/>
      <c r="F190" s="10"/>
      <c r="G190" s="10"/>
      <c r="H190" s="10"/>
      <c r="I190" s="10"/>
    </row>
    <row r="191" customFormat="false" ht="32.25" hidden="false" customHeight="true" outlineLevel="0" collapsed="false">
      <c r="A191" s="13" t="s">
        <v>163</v>
      </c>
      <c r="B191" s="13"/>
      <c r="C191" s="158"/>
      <c r="D191" s="87" t="s">
        <v>164</v>
      </c>
      <c r="E191" s="120" t="s">
        <v>165</v>
      </c>
      <c r="F191" s="159"/>
      <c r="G191" s="15"/>
      <c r="H191" s="160" t="s">
        <v>166</v>
      </c>
      <c r="I191" s="159"/>
    </row>
    <row r="192" customFormat="false" ht="32.25" hidden="false" customHeight="true" outlineLevel="0" collapsed="false">
      <c r="A192" s="160" t="s">
        <v>167</v>
      </c>
      <c r="B192" s="161"/>
      <c r="C192" s="31" t="str">
        <f aca="false">IF(AND(OR(C191="",B192="")),"Please complete using dropdown","")</f>
        <v>Please complete using dropdown</v>
      </c>
      <c r="D192" s="87"/>
      <c r="E192" s="162" t="s">
        <v>168</v>
      </c>
      <c r="F192" s="161"/>
      <c r="G192" s="15"/>
      <c r="H192" s="160" t="s">
        <v>169</v>
      </c>
      <c r="I192" s="161"/>
    </row>
    <row r="193" customFormat="false" ht="15" hidden="true" customHeight="true" outlineLevel="0" collapsed="false">
      <c r="A193" s="10"/>
      <c r="B193" s="163"/>
      <c r="C193" s="10"/>
      <c r="D193" s="164"/>
      <c r="E193" s="165"/>
      <c r="F193" s="166"/>
      <c r="G193" s="10"/>
      <c r="H193" s="167"/>
      <c r="I193" s="168"/>
    </row>
    <row r="194" customFormat="false" ht="47.25" hidden="true" customHeight="true" outlineLevel="0" collapsed="false">
      <c r="A194" s="169" t="s">
        <v>170</v>
      </c>
      <c r="B194" s="170" t="s">
        <v>171</v>
      </c>
      <c r="C194" s="71"/>
      <c r="D194" s="170" t="s">
        <v>172</v>
      </c>
      <c r="E194" s="71"/>
      <c r="F194" s="170" t="s">
        <v>173</v>
      </c>
      <c r="G194" s="71"/>
      <c r="H194" s="170" t="s">
        <v>174</v>
      </c>
      <c r="I194" s="71"/>
    </row>
    <row r="195" customFormat="false" ht="50.25" hidden="true" customHeight="true" outlineLevel="0" collapsed="false">
      <c r="A195" s="169"/>
      <c r="B195" s="170" t="s">
        <v>175</v>
      </c>
      <c r="C195" s="71"/>
      <c r="D195" s="170" t="s">
        <v>176</v>
      </c>
      <c r="E195" s="71"/>
      <c r="F195" s="170" t="s">
        <v>177</v>
      </c>
      <c r="G195" s="71"/>
      <c r="H195" s="170" t="s">
        <v>178</v>
      </c>
      <c r="I195" s="71"/>
    </row>
    <row r="196" customFormat="false" ht="17.25" hidden="false" customHeight="true" outlineLevel="0" collapsed="false">
      <c r="A196" s="171"/>
      <c r="B196" s="35"/>
      <c r="C196" s="10"/>
      <c r="D196" s="164"/>
      <c r="E196" s="165"/>
      <c r="F196" s="166"/>
      <c r="G196" s="10"/>
      <c r="H196" s="167"/>
      <c r="I196" s="168"/>
    </row>
    <row r="197" customFormat="false" ht="153.75" hidden="false" customHeight="true" outlineLevel="0" collapsed="false">
      <c r="A197" s="172" t="s">
        <v>179</v>
      </c>
      <c r="B197" s="41"/>
      <c r="C197" s="41"/>
      <c r="D197" s="41"/>
      <c r="E197" s="41"/>
      <c r="F197" s="41"/>
      <c r="G197" s="41"/>
      <c r="H197" s="41"/>
      <c r="I197" s="41"/>
    </row>
    <row r="198" customFormat="false" ht="15" hidden="false" customHeight="true" outlineLevel="0" collapsed="false">
      <c r="A198" s="160"/>
      <c r="B198" s="35"/>
      <c r="C198" s="35"/>
      <c r="D198" s="35"/>
      <c r="E198" s="35"/>
      <c r="F198" s="35"/>
      <c r="G198" s="35"/>
      <c r="H198" s="35"/>
      <c r="I198" s="35"/>
    </row>
  </sheetData>
  <mergeCells count="105">
    <mergeCell ref="A1:H1"/>
    <mergeCell ref="A2:E2"/>
    <mergeCell ref="A6:B6"/>
    <mergeCell ref="A9:A13"/>
    <mergeCell ref="F10:I10"/>
    <mergeCell ref="D12:F12"/>
    <mergeCell ref="A15:C15"/>
    <mergeCell ref="E15:I15"/>
    <mergeCell ref="C19:D19"/>
    <mergeCell ref="C20:D20"/>
    <mergeCell ref="D21:H21"/>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78:A179"/>
    <mergeCell ref="A180:A181"/>
    <mergeCell ref="A182:A183"/>
    <mergeCell ref="A184:A185"/>
    <mergeCell ref="A186:A187"/>
    <mergeCell ref="A188:A189"/>
    <mergeCell ref="A191:B191"/>
    <mergeCell ref="D191:D192"/>
    <mergeCell ref="A194:A195"/>
    <mergeCell ref="B197:I197"/>
  </mergeCells>
  <conditionalFormatting sqref="C6">
    <cfRule type="beginsWith" priority="2" aboveAverage="0" equalAverage="0" bottom="0" percent="0" rank="0" text="Green" dxfId="0"/>
    <cfRule type="beginsWith" priority="3" aboveAverage="0" equalAverage="0" bottom="0" percent="0" rank="0" text="Amber" dxfId="1"/>
    <cfRule type="beginsWith" priority="4" aboveAverage="0" equalAverage="0" bottom="0" percent="0" rank="0" text="Red" dxfId="2"/>
  </conditionalFormatting>
  <dataValidations count="5">
    <dataValidation allowBlank="true" operator="greaterThan" showDropDown="false" showErrorMessage="true" showInputMessage="true" sqref="C27:E36 H27:I28 H30:I31 H33:I34 H36:I36 C38:E71 H38:I71 C80:E89 C91:E124 C144:E187" type="decimal">
      <formula1>-1</formula1>
      <formula2>0</formula2>
    </dataValidation>
    <dataValidation allowBlank="true" operator="lessThan" showDropDown="false" showErrorMessage="true" showInputMessage="true" sqref="B77:I77 B130:I130 B197:I197" type="textLength">
      <formula1>7001</formula1>
      <formula2>0</formula2>
    </dataValidation>
    <dataValidation allowBlank="true" operator="lessThan" showDropDown="false" showErrorMessage="true" showInputMessage="true" sqref="F144:F187" type="decimal">
      <formula1>1E-090</formula1>
      <formula2>0</formula2>
    </dataValidation>
    <dataValidation allowBlank="true" operator="greaterThan" showDropDown="false" showErrorMessage="true" showInputMessage="true" sqref="C11 E11" type="date">
      <formula1>1</formula1>
      <formula2>0</formula2>
    </dataValidation>
    <dataValidation allowBlank="true" operator="between" showDropDown="false" showErrorMessage="true" showInputMessage="true" sqref="B193" type="none">
      <formula1>0</formula1>
      <formula2>0</formula2>
    </dataValidation>
  </dataValidations>
  <hyperlinks>
    <hyperlink ref="E15" r:id="rId1" display="https://www.gov.uk/government/publications/procurement-policy-note-1615-procuring-steel-in-major-projects"/>
  </hyperlink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rowBreaks count="1" manualBreakCount="1">
    <brk id="136" man="true" max="16383" min="0"/>
  </rowBreaks>
  <drawing r:id="rId2"/>
</worksheet>
</file>

<file path=xl/worksheets/sheet3.xml><?xml version="1.0" encoding="utf-8"?>
<worksheet xmlns="http://schemas.openxmlformats.org/spreadsheetml/2006/main" xmlns:r="http://schemas.openxmlformats.org/officeDocument/2006/relationships">
  <sheetPr filterMode="false">
    <pageSetUpPr fitToPage="true"/>
  </sheetPr>
  <dimension ref="A1:M39"/>
  <sheetViews>
    <sheetView showFormulas="false" showGridLines="true" showRowColHeaders="true" showZeros="true" rightToLeft="false" tabSelected="false" showOutlineSymbols="true" defaultGridColor="true" view="pageBreakPreview" topLeftCell="A1" colorId="64" zoomScale="75" zoomScaleNormal="66" zoomScalePageLayoutView="75" workbookViewId="0">
      <selection pane="topLeft" activeCell="J25" activeCellId="0" sqref="J25"/>
    </sheetView>
  </sheetViews>
  <sheetFormatPr defaultRowHeight="15" outlineLevelRow="0" outlineLevelCol="0"/>
  <cols>
    <col collapsed="false" customWidth="true" hidden="false" outlineLevel="0" max="1" min="1" style="1" width="20.77"/>
    <col collapsed="false" customWidth="true" hidden="false" outlineLevel="0" max="2" min="2" style="1" width="2.11"/>
    <col collapsed="false" customWidth="true" hidden="false" outlineLevel="0" max="3" min="3" style="1" width="20.77"/>
    <col collapsed="false" customWidth="true" hidden="false" outlineLevel="0" max="4" min="4" style="1" width="1"/>
    <col collapsed="false" customWidth="true" hidden="false" outlineLevel="0" max="5" min="5" style="1" width="20.77"/>
    <col collapsed="false" customWidth="true" hidden="false" outlineLevel="0" max="6" min="6" style="1" width="1"/>
    <col collapsed="false" customWidth="true" hidden="false" outlineLevel="0" max="7" min="7" style="1" width="20.77"/>
    <col collapsed="false" customWidth="true" hidden="false" outlineLevel="0" max="8" min="8" style="1" width="1"/>
    <col collapsed="false" customWidth="true" hidden="false" outlineLevel="0" max="10" min="9" style="1" width="20.77"/>
    <col collapsed="false" customWidth="true" hidden="false" outlineLevel="0" max="11" min="11" style="1" width="8.66"/>
    <col collapsed="false" customWidth="true" hidden="false" outlineLevel="0" max="1025" min="12" style="1" width="20.77"/>
  </cols>
  <sheetData>
    <row r="1" customFormat="false" ht="77.25" hidden="false" customHeight="true" outlineLevel="0" collapsed="false">
      <c r="A1" s="173" t="s">
        <v>0</v>
      </c>
      <c r="B1" s="173"/>
      <c r="C1" s="173"/>
      <c r="D1" s="173"/>
      <c r="E1" s="173"/>
      <c r="F1" s="173"/>
      <c r="G1" s="173"/>
      <c r="H1" s="173"/>
      <c r="I1" s="173"/>
      <c r="J1" s="173"/>
      <c r="K1" s="173"/>
      <c r="L1" s="173"/>
      <c r="M1" s="60" t="s">
        <v>64</v>
      </c>
    </row>
    <row r="2" customFormat="false" ht="20.25" hidden="false" customHeight="true" outlineLevel="0" collapsed="false">
      <c r="A2" s="174" t="s">
        <v>180</v>
      </c>
      <c r="B2" s="174"/>
      <c r="C2" s="174"/>
      <c r="D2" s="5"/>
      <c r="E2" s="5"/>
      <c r="F2" s="5"/>
      <c r="G2" s="5"/>
      <c r="H2" s="5"/>
      <c r="I2" s="5"/>
      <c r="J2" s="5"/>
      <c r="K2" s="5"/>
      <c r="L2" s="5"/>
      <c r="M2" s="5"/>
    </row>
    <row r="3" customFormat="false" ht="15.75" hidden="false" customHeight="true" outlineLevel="0" collapsed="false">
      <c r="A3" s="175" t="s">
        <v>181</v>
      </c>
      <c r="B3" s="175"/>
      <c r="C3" s="175"/>
      <c r="D3" s="5"/>
      <c r="E3" s="5"/>
      <c r="F3" s="5"/>
      <c r="G3" s="5"/>
      <c r="H3" s="5"/>
      <c r="I3" s="5"/>
      <c r="J3" s="5"/>
      <c r="K3" s="5"/>
      <c r="L3" s="5"/>
      <c r="M3" s="5"/>
    </row>
    <row r="4" customFormat="false" ht="9" hidden="false" customHeight="true" outlineLevel="0" collapsed="false">
      <c r="A4" s="5"/>
      <c r="B4" s="5"/>
      <c r="C4" s="5"/>
      <c r="D4" s="5"/>
      <c r="E4" s="5"/>
      <c r="F4" s="5"/>
      <c r="G4" s="5"/>
      <c r="H4" s="5"/>
      <c r="I4" s="5"/>
      <c r="J4" s="5"/>
      <c r="K4" s="5"/>
      <c r="L4" s="5"/>
      <c r="M4" s="5"/>
    </row>
    <row r="5" s="178" customFormat="true" ht="58.5" hidden="false" customHeight="true" outlineLevel="0" collapsed="false">
      <c r="A5" s="176" t="s">
        <v>182</v>
      </c>
      <c r="B5" s="177"/>
      <c r="C5" s="176" t="s">
        <v>183</v>
      </c>
      <c r="D5" s="177"/>
      <c r="E5" s="176" t="s">
        <v>184</v>
      </c>
      <c r="F5" s="177"/>
      <c r="G5" s="176" t="s">
        <v>185</v>
      </c>
      <c r="H5" s="177"/>
      <c r="I5" s="148" t="s">
        <v>186</v>
      </c>
      <c r="J5" s="177"/>
      <c r="K5" s="177"/>
      <c r="L5" s="177"/>
      <c r="M5" s="177"/>
    </row>
    <row r="6" s="19" customFormat="true" ht="20.25" hidden="false" customHeight="true" outlineLevel="0" collapsed="false">
      <c r="A6" s="176" t="s">
        <v>187</v>
      </c>
      <c r="B6" s="179"/>
      <c r="C6" s="180"/>
      <c r="D6" s="179"/>
      <c r="E6" s="180"/>
      <c r="F6" s="179"/>
      <c r="G6" s="180"/>
      <c r="H6" s="179"/>
      <c r="I6" s="181" t="n">
        <f aca="false">SUM(G6,E6,C6)</f>
        <v>0</v>
      </c>
      <c r="J6" s="4"/>
      <c r="K6" s="4"/>
      <c r="L6" s="4"/>
      <c r="M6" s="4"/>
    </row>
    <row r="7" s="19" customFormat="true" ht="20.25" hidden="false" customHeight="true" outlineLevel="0" collapsed="false">
      <c r="A7" s="176" t="s">
        <v>188</v>
      </c>
      <c r="B7" s="179"/>
      <c r="C7" s="180"/>
      <c r="D7" s="179"/>
      <c r="E7" s="180"/>
      <c r="F7" s="179"/>
      <c r="G7" s="180"/>
      <c r="H7" s="179"/>
      <c r="I7" s="181" t="n">
        <f aca="false">SUM(G7,E7,C7)</f>
        <v>0</v>
      </c>
      <c r="J7" s="4"/>
      <c r="K7" s="4"/>
      <c r="L7" s="4"/>
      <c r="M7" s="4"/>
    </row>
    <row r="8" s="19" customFormat="true" ht="20.25" hidden="false" customHeight="true" outlineLevel="0" collapsed="false">
      <c r="A8" s="176" t="s">
        <v>189</v>
      </c>
      <c r="B8" s="179"/>
      <c r="C8" s="180"/>
      <c r="D8" s="179"/>
      <c r="E8" s="180"/>
      <c r="F8" s="179"/>
      <c r="G8" s="180"/>
      <c r="H8" s="179"/>
      <c r="I8" s="181" t="n">
        <f aca="false">SUM(G8,E8,C8)</f>
        <v>0</v>
      </c>
      <c r="J8" s="4"/>
      <c r="K8" s="4"/>
      <c r="L8" s="4"/>
      <c r="M8" s="4"/>
    </row>
    <row r="9" s="19" customFormat="true" ht="20.25" hidden="false" customHeight="true" outlineLevel="0" collapsed="false">
      <c r="A9" s="176" t="s">
        <v>190</v>
      </c>
      <c r="B9" s="179"/>
      <c r="C9" s="180"/>
      <c r="D9" s="179"/>
      <c r="E9" s="180"/>
      <c r="F9" s="179"/>
      <c r="G9" s="180"/>
      <c r="H9" s="179"/>
      <c r="I9" s="181" t="n">
        <f aca="false">SUM(G9,E9,C9)</f>
        <v>0</v>
      </c>
      <c r="J9" s="4"/>
      <c r="K9" s="4"/>
      <c r="L9" s="4"/>
      <c r="M9" s="4"/>
    </row>
    <row r="10" s="19" customFormat="true" ht="20.25" hidden="false" customHeight="true" outlineLevel="0" collapsed="false">
      <c r="A10" s="176" t="s">
        <v>191</v>
      </c>
      <c r="B10" s="179"/>
      <c r="C10" s="180"/>
      <c r="D10" s="179"/>
      <c r="E10" s="180"/>
      <c r="F10" s="179"/>
      <c r="G10" s="180"/>
      <c r="H10" s="179"/>
      <c r="I10" s="181" t="n">
        <f aca="false">SUM(G10,E10,C10)</f>
        <v>0</v>
      </c>
      <c r="J10" s="4"/>
      <c r="K10" s="4"/>
      <c r="L10" s="4"/>
      <c r="M10" s="4"/>
    </row>
    <row r="11" s="19" customFormat="true" ht="20.25" hidden="false" customHeight="true" outlineLevel="0" collapsed="false">
      <c r="A11" s="176" t="s">
        <v>192</v>
      </c>
      <c r="B11" s="179"/>
      <c r="C11" s="180"/>
      <c r="D11" s="179"/>
      <c r="E11" s="180"/>
      <c r="F11" s="179"/>
      <c r="G11" s="180"/>
      <c r="H11" s="179"/>
      <c r="I11" s="181" t="n">
        <f aca="false">SUM(G11,E11,C11)</f>
        <v>0</v>
      </c>
      <c r="J11" s="4"/>
      <c r="K11" s="4"/>
      <c r="L11" s="4"/>
      <c r="M11" s="4"/>
    </row>
    <row r="12" s="19" customFormat="true" ht="20.25" hidden="false" customHeight="true" outlineLevel="0" collapsed="false">
      <c r="A12" s="176" t="s">
        <v>193</v>
      </c>
      <c r="B12" s="179"/>
      <c r="C12" s="180"/>
      <c r="D12" s="179"/>
      <c r="E12" s="180"/>
      <c r="F12" s="179"/>
      <c r="G12" s="180"/>
      <c r="H12" s="179"/>
      <c r="I12" s="181" t="n">
        <f aca="false">SUM(G12,E12,C12)</f>
        <v>0</v>
      </c>
      <c r="J12" s="4"/>
      <c r="K12" s="4"/>
      <c r="L12" s="4"/>
      <c r="M12" s="4"/>
    </row>
    <row r="13" s="19" customFormat="true" ht="20.25" hidden="false" customHeight="true" outlineLevel="0" collapsed="false">
      <c r="A13" s="176" t="s">
        <v>194</v>
      </c>
      <c r="B13" s="179"/>
      <c r="C13" s="180"/>
      <c r="D13" s="179"/>
      <c r="E13" s="180"/>
      <c r="F13" s="179"/>
      <c r="G13" s="180"/>
      <c r="H13" s="179"/>
      <c r="I13" s="181" t="n">
        <f aca="false">SUM(G13,E13,C13)</f>
        <v>0</v>
      </c>
      <c r="J13" s="4"/>
      <c r="K13" s="4"/>
      <c r="L13" s="4"/>
      <c r="M13" s="4"/>
    </row>
    <row r="14" s="19" customFormat="true" ht="20.25" hidden="false" customHeight="true" outlineLevel="0" collapsed="false">
      <c r="A14" s="176" t="s">
        <v>195</v>
      </c>
      <c r="B14" s="179"/>
      <c r="C14" s="180"/>
      <c r="D14" s="179"/>
      <c r="E14" s="180"/>
      <c r="F14" s="179"/>
      <c r="G14" s="180"/>
      <c r="H14" s="179"/>
      <c r="I14" s="181" t="n">
        <f aca="false">SUM(G14,E14,C14)</f>
        <v>0</v>
      </c>
      <c r="J14" s="4"/>
      <c r="K14" s="4"/>
      <c r="L14" s="4"/>
      <c r="M14" s="4"/>
    </row>
    <row r="15" s="19" customFormat="true" ht="20.25" hidden="false" customHeight="true" outlineLevel="0" collapsed="false">
      <c r="A15" s="176" t="s">
        <v>196</v>
      </c>
      <c r="B15" s="179"/>
      <c r="C15" s="180"/>
      <c r="D15" s="179"/>
      <c r="E15" s="180"/>
      <c r="F15" s="179"/>
      <c r="G15" s="180"/>
      <c r="H15" s="179"/>
      <c r="I15" s="181" t="n">
        <f aca="false">SUM(G15,E15,C15)</f>
        <v>0</v>
      </c>
      <c r="J15" s="4"/>
      <c r="K15" s="4"/>
      <c r="L15" s="4"/>
      <c r="M15" s="4"/>
    </row>
    <row r="16" s="19" customFormat="true" ht="20.25" hidden="false" customHeight="true" outlineLevel="0" collapsed="false">
      <c r="A16" s="176" t="s">
        <v>197</v>
      </c>
      <c r="B16" s="179"/>
      <c r="C16" s="180"/>
      <c r="D16" s="179"/>
      <c r="E16" s="180"/>
      <c r="F16" s="179"/>
      <c r="G16" s="180"/>
      <c r="H16" s="179"/>
      <c r="I16" s="181" t="n">
        <f aca="false">SUM(G16,E16,C16)</f>
        <v>0</v>
      </c>
      <c r="J16" s="4"/>
      <c r="K16" s="4"/>
      <c r="L16" s="4"/>
      <c r="M16" s="4"/>
    </row>
    <row r="17" s="19" customFormat="true" ht="20.25" hidden="false" customHeight="true" outlineLevel="0" collapsed="false">
      <c r="A17" s="182" t="s">
        <v>129</v>
      </c>
      <c r="B17" s="179"/>
      <c r="C17" s="181" t="n">
        <f aca="false">SUM(C6:C16)</f>
        <v>0</v>
      </c>
      <c r="D17" s="179"/>
      <c r="E17" s="181" t="n">
        <f aca="false">SUM(E6:E16)</f>
        <v>0</v>
      </c>
      <c r="F17" s="179"/>
      <c r="G17" s="181" t="n">
        <f aca="false">SUM(G6:G16)</f>
        <v>0</v>
      </c>
      <c r="H17" s="179"/>
      <c r="I17" s="183" t="n">
        <f aca="false">SUM(G17:H17,E17,C17)</f>
        <v>0</v>
      </c>
      <c r="J17" s="4"/>
      <c r="K17" s="4"/>
      <c r="L17" s="4"/>
      <c r="M17" s="4"/>
    </row>
    <row r="18" s="19" customFormat="true" ht="14.25" hidden="false" customHeight="false" outlineLevel="0" collapsed="false">
      <c r="A18" s="1"/>
      <c r="B18" s="4"/>
      <c r="C18" s="1"/>
      <c r="D18" s="4"/>
      <c r="E18" s="1"/>
      <c r="F18" s="4"/>
      <c r="G18" s="1"/>
      <c r="H18" s="4"/>
      <c r="I18" s="1"/>
      <c r="J18" s="4"/>
      <c r="K18" s="4"/>
      <c r="L18" s="4"/>
      <c r="M18" s="4"/>
    </row>
    <row r="19" customFormat="false" ht="260.25" hidden="false" customHeight="true" outlineLevel="0" collapsed="false">
      <c r="A19" s="176" t="s">
        <v>198</v>
      </c>
      <c r="B19" s="4"/>
      <c r="C19" s="184"/>
      <c r="D19" s="184"/>
      <c r="E19" s="184"/>
      <c r="F19" s="184"/>
      <c r="G19" s="184"/>
      <c r="H19" s="184"/>
      <c r="I19" s="184"/>
      <c r="J19" s="184"/>
      <c r="K19" s="4"/>
      <c r="L19" s="4"/>
      <c r="M19" s="4"/>
    </row>
    <row r="20" customFormat="false" ht="14.25" hidden="false" customHeight="false" outlineLevel="0" collapsed="false">
      <c r="A20" s="4"/>
      <c r="B20" s="4"/>
      <c r="C20" s="4"/>
      <c r="D20" s="4"/>
      <c r="E20" s="4"/>
      <c r="F20" s="4"/>
      <c r="G20" s="4"/>
      <c r="H20" s="4"/>
      <c r="I20" s="4"/>
      <c r="J20" s="4"/>
      <c r="K20" s="4"/>
      <c r="L20" s="4"/>
      <c r="M20" s="4"/>
    </row>
    <row r="21" customFormat="false" ht="46.5" hidden="false" customHeight="true" outlineLevel="0" collapsed="false">
      <c r="A21" s="185" t="s">
        <v>199</v>
      </c>
      <c r="B21" s="4"/>
      <c r="C21" s="186" t="s">
        <v>200</v>
      </c>
      <c r="D21" s="186"/>
      <c r="E21" s="186"/>
      <c r="F21" s="186"/>
      <c r="G21" s="186"/>
      <c r="I21" s="186" t="s">
        <v>201</v>
      </c>
      <c r="J21" s="186"/>
      <c r="K21" s="4"/>
      <c r="L21" s="4"/>
      <c r="M21" s="4"/>
    </row>
    <row r="22" customFormat="false" ht="6" hidden="false" customHeight="true" outlineLevel="0" collapsed="false">
      <c r="B22" s="4"/>
      <c r="K22" s="4"/>
      <c r="L22" s="4"/>
      <c r="M22" s="4"/>
    </row>
    <row r="23" customFormat="false" ht="50.1" hidden="false" customHeight="true" outlineLevel="0" collapsed="false">
      <c r="A23" s="187" t="s">
        <v>202</v>
      </c>
      <c r="B23" s="4"/>
      <c r="C23" s="176" t="s">
        <v>183</v>
      </c>
      <c r="D23" s="178"/>
      <c r="E23" s="176" t="s">
        <v>184</v>
      </c>
      <c r="F23" s="178"/>
      <c r="G23" s="176" t="s">
        <v>203</v>
      </c>
      <c r="I23" s="188" t="s">
        <v>204</v>
      </c>
      <c r="J23" s="188" t="s">
        <v>205</v>
      </c>
      <c r="K23" s="4"/>
      <c r="L23" s="4"/>
      <c r="M23" s="4"/>
    </row>
    <row r="24" customFormat="false" ht="14.25" hidden="false" customHeight="false" outlineLevel="0" collapsed="false">
      <c r="A24" s="4"/>
      <c r="B24" s="4"/>
      <c r="C24" s="4"/>
      <c r="D24" s="4"/>
      <c r="E24" s="4"/>
      <c r="F24" s="4"/>
      <c r="G24" s="4"/>
      <c r="H24" s="4"/>
      <c r="I24" s="4"/>
      <c r="J24" s="4"/>
      <c r="K24" s="4"/>
      <c r="L24" s="4"/>
      <c r="M24" s="4"/>
    </row>
    <row r="25" customFormat="false" ht="45.75" hidden="false" customHeight="true" outlineLevel="0" collapsed="false">
      <c r="A25" s="176" t="s">
        <v>206</v>
      </c>
      <c r="B25" s="4"/>
      <c r="C25" s="180"/>
      <c r="D25" s="179"/>
      <c r="E25" s="180"/>
      <c r="F25" s="179"/>
      <c r="G25" s="180"/>
      <c r="H25" s="179"/>
      <c r="I25" s="180"/>
      <c r="J25" s="189"/>
      <c r="K25" s="190" t="s">
        <v>207</v>
      </c>
      <c r="L25" s="191" t="s">
        <v>208</v>
      </c>
      <c r="M25" s="191"/>
    </row>
    <row r="26" customFormat="false" ht="45.75" hidden="false" customHeight="true" outlineLevel="0" collapsed="false">
      <c r="A26" s="176" t="s">
        <v>209</v>
      </c>
      <c r="B26" s="4"/>
      <c r="C26" s="180"/>
      <c r="D26" s="179"/>
      <c r="E26" s="180"/>
      <c r="F26" s="179"/>
      <c r="G26" s="180"/>
      <c r="H26" s="179"/>
      <c r="I26" s="180"/>
      <c r="J26" s="189"/>
      <c r="K26" s="192" t="s">
        <v>210</v>
      </c>
      <c r="L26" s="191" t="s">
        <v>211</v>
      </c>
      <c r="M26" s="191"/>
    </row>
    <row r="27" customFormat="false" ht="45.75" hidden="false" customHeight="true" outlineLevel="0" collapsed="false">
      <c r="A27" s="176" t="s">
        <v>212</v>
      </c>
      <c r="B27" s="4"/>
      <c r="C27" s="180"/>
      <c r="D27" s="179"/>
      <c r="E27" s="180"/>
      <c r="F27" s="179"/>
      <c r="G27" s="180"/>
      <c r="H27" s="179"/>
      <c r="I27" s="180"/>
      <c r="J27" s="189"/>
      <c r="K27" s="193" t="s">
        <v>213</v>
      </c>
      <c r="L27" s="191" t="s">
        <v>214</v>
      </c>
      <c r="M27" s="191"/>
    </row>
    <row r="28" customFormat="false" ht="45.75" hidden="false" customHeight="true" outlineLevel="0" collapsed="false">
      <c r="A28" s="176" t="s">
        <v>215</v>
      </c>
      <c r="B28" s="4"/>
      <c r="C28" s="180"/>
      <c r="D28" s="179"/>
      <c r="E28" s="180"/>
      <c r="F28" s="179"/>
      <c r="G28" s="180"/>
      <c r="H28" s="179"/>
      <c r="I28" s="180"/>
      <c r="J28" s="189"/>
      <c r="K28" s="194" t="s">
        <v>216</v>
      </c>
      <c r="L28" s="191" t="s">
        <v>217</v>
      </c>
      <c r="M28" s="191"/>
    </row>
    <row r="29" customFormat="false" ht="45.75" hidden="false" customHeight="true" outlineLevel="0" collapsed="false">
      <c r="A29" s="176" t="s">
        <v>218</v>
      </c>
      <c r="B29" s="4"/>
      <c r="C29" s="180"/>
      <c r="D29" s="179"/>
      <c r="E29" s="180"/>
      <c r="F29" s="179"/>
      <c r="G29" s="180"/>
      <c r="H29" s="179"/>
      <c r="I29" s="180"/>
      <c r="J29" s="180"/>
      <c r="K29" s="4"/>
      <c r="L29" s="4"/>
      <c r="M29" s="4"/>
    </row>
    <row r="30" customFormat="false" ht="45.75" hidden="false" customHeight="true" outlineLevel="0" collapsed="false">
      <c r="A30" s="176" t="s">
        <v>219</v>
      </c>
      <c r="B30" s="4"/>
      <c r="C30" s="180"/>
      <c r="D30" s="179"/>
      <c r="E30" s="180"/>
      <c r="F30" s="179"/>
      <c r="G30" s="180"/>
      <c r="H30" s="179"/>
      <c r="I30" s="180"/>
      <c r="J30" s="180"/>
      <c r="K30" s="4"/>
      <c r="L30" s="4"/>
      <c r="M30" s="4"/>
    </row>
    <row r="31" customFormat="false" ht="45.75" hidden="false" customHeight="true" outlineLevel="0" collapsed="false">
      <c r="A31" s="176" t="s">
        <v>220</v>
      </c>
      <c r="B31" s="4"/>
      <c r="C31" s="180"/>
      <c r="D31" s="179"/>
      <c r="E31" s="180"/>
      <c r="F31" s="179"/>
      <c r="G31" s="180"/>
      <c r="H31" s="179"/>
      <c r="I31" s="180"/>
      <c r="J31" s="180"/>
      <c r="K31" s="4"/>
      <c r="L31" s="4"/>
      <c r="M31" s="4"/>
    </row>
    <row r="32" customFormat="false" ht="45.75" hidden="false" customHeight="true" outlineLevel="0" collapsed="false">
      <c r="A32" s="176" t="s">
        <v>221</v>
      </c>
      <c r="B32" s="4"/>
      <c r="C32" s="180"/>
      <c r="D32" s="179"/>
      <c r="E32" s="180"/>
      <c r="F32" s="179"/>
      <c r="G32" s="180"/>
      <c r="H32" s="179"/>
      <c r="I32" s="180"/>
      <c r="J32" s="180"/>
      <c r="K32" s="4"/>
      <c r="L32" s="4"/>
      <c r="M32" s="4"/>
    </row>
    <row r="33" customFormat="false" ht="45.75" hidden="false" customHeight="true" outlineLevel="0" collapsed="false">
      <c r="A33" s="176" t="s">
        <v>222</v>
      </c>
      <c r="B33" s="4"/>
      <c r="C33" s="180"/>
      <c r="D33" s="179"/>
      <c r="E33" s="180"/>
      <c r="F33" s="179"/>
      <c r="G33" s="180"/>
      <c r="H33" s="179"/>
      <c r="I33" s="180"/>
      <c r="J33" s="180"/>
      <c r="K33" s="4"/>
      <c r="L33" s="4"/>
      <c r="M33" s="4"/>
    </row>
    <row r="34" customFormat="false" ht="45.75" hidden="false" customHeight="true" outlineLevel="0" collapsed="false">
      <c r="A34" s="176" t="s">
        <v>223</v>
      </c>
      <c r="B34" s="4"/>
      <c r="C34" s="180"/>
      <c r="D34" s="179"/>
      <c r="E34" s="180"/>
      <c r="F34" s="179"/>
      <c r="G34" s="180"/>
      <c r="H34" s="179"/>
      <c r="I34" s="180"/>
      <c r="J34" s="180"/>
      <c r="K34" s="4"/>
      <c r="L34" s="4"/>
      <c r="M34" s="4"/>
    </row>
    <row r="35" customFormat="false" ht="45.75" hidden="false" customHeight="true" outlineLevel="0" collapsed="false">
      <c r="A35" s="195" t="s">
        <v>224</v>
      </c>
      <c r="B35" s="4"/>
      <c r="C35" s="180"/>
      <c r="D35" s="179"/>
      <c r="E35" s="180"/>
      <c r="F35" s="179"/>
      <c r="G35" s="180"/>
      <c r="H35" s="179"/>
      <c r="I35" s="180"/>
      <c r="J35" s="180"/>
      <c r="K35" s="4"/>
      <c r="L35" s="4"/>
      <c r="M35" s="4"/>
    </row>
    <row r="36" customFormat="false" ht="45.75" hidden="false" customHeight="true" outlineLevel="0" collapsed="false">
      <c r="A36" s="195" t="s">
        <v>224</v>
      </c>
      <c r="B36" s="4"/>
      <c r="C36" s="180"/>
      <c r="D36" s="179"/>
      <c r="E36" s="180"/>
      <c r="F36" s="179"/>
      <c r="G36" s="180"/>
      <c r="H36" s="179"/>
      <c r="I36" s="180"/>
      <c r="J36" s="180"/>
      <c r="K36" s="4"/>
      <c r="L36" s="4"/>
      <c r="M36" s="4"/>
    </row>
    <row r="37" customFormat="false" ht="29.25" hidden="false" customHeight="true" outlineLevel="0" collapsed="false">
      <c r="A37" s="196" t="s">
        <v>129</v>
      </c>
      <c r="B37" s="4"/>
      <c r="C37" s="197" t="n">
        <f aca="false">SUM(C25:C36)</f>
        <v>0</v>
      </c>
      <c r="D37" s="179"/>
      <c r="E37" s="197" t="n">
        <f aca="false">SUM(E25:E36)</f>
        <v>0</v>
      </c>
      <c r="F37" s="179"/>
      <c r="G37" s="198" t="n">
        <f aca="false">SUM(G25:G36)</f>
        <v>0</v>
      </c>
      <c r="H37" s="179"/>
      <c r="I37" s="179"/>
      <c r="J37" s="179"/>
      <c r="K37" s="4"/>
      <c r="L37" s="4"/>
      <c r="M37" s="4"/>
    </row>
    <row r="38" customFormat="false" ht="46.5" hidden="false" customHeight="true" outlineLevel="0" collapsed="false">
      <c r="A38" s="4"/>
      <c r="B38" s="4"/>
      <c r="C38" s="199" t="s">
        <v>225</v>
      </c>
      <c r="D38" s="199"/>
      <c r="E38" s="199"/>
      <c r="F38" s="4"/>
      <c r="G38" s="188" t="s">
        <v>226</v>
      </c>
      <c r="H38" s="4"/>
      <c r="I38" s="180"/>
      <c r="J38" s="180"/>
      <c r="K38" s="4"/>
      <c r="L38" s="4"/>
      <c r="M38" s="4"/>
    </row>
    <row r="39" customFormat="false" ht="259.5" hidden="false" customHeight="true" outlineLevel="0" collapsed="false">
      <c r="A39" s="176" t="s">
        <v>198</v>
      </c>
      <c r="B39" s="4"/>
      <c r="C39" s="200"/>
      <c r="D39" s="200"/>
      <c r="E39" s="200"/>
      <c r="F39" s="200"/>
      <c r="G39" s="200"/>
      <c r="H39" s="200"/>
      <c r="I39" s="200"/>
      <c r="J39" s="200"/>
      <c r="K39" s="4"/>
      <c r="L39" s="4"/>
      <c r="M39" s="4"/>
    </row>
  </sheetData>
  <mergeCells count="12">
    <mergeCell ref="A1:L1"/>
    <mergeCell ref="A2:C2"/>
    <mergeCell ref="A3:C3"/>
    <mergeCell ref="C19:J19"/>
    <mergeCell ref="C21:G21"/>
    <mergeCell ref="I21:J21"/>
    <mergeCell ref="L25:M25"/>
    <mergeCell ref="L26:M26"/>
    <mergeCell ref="L27:M27"/>
    <mergeCell ref="L28:M28"/>
    <mergeCell ref="C38:E38"/>
    <mergeCell ref="C39:J39"/>
  </mergeCells>
  <dataValidations count="1">
    <dataValidation allowBlank="true" operator="lessThan" showDropDown="false" showErrorMessage="true" showInputMessage="true" sqref="C19 C39" type="textLength">
      <formula1>7001</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sheetPr filterMode="false">
    <pageSetUpPr fitToPage="true"/>
  </sheetPr>
  <dimension ref="A1:L42"/>
  <sheetViews>
    <sheetView showFormulas="false" showGridLines="true" showRowColHeaders="true" showZeros="true" rightToLeft="false" tabSelected="false" showOutlineSymbols="true" defaultGridColor="true" view="pageBreakPreview" topLeftCell="A19" colorId="64" zoomScale="77" zoomScaleNormal="71" zoomScalePageLayoutView="77" workbookViewId="0">
      <selection pane="topLeft" activeCell="B42" activeCellId="0" sqref="B42"/>
    </sheetView>
  </sheetViews>
  <sheetFormatPr defaultRowHeight="15" outlineLevelRow="0" outlineLevelCol="0"/>
  <cols>
    <col collapsed="false" customWidth="true" hidden="false" outlineLevel="0" max="1" min="1" style="1" width="32.78"/>
    <col collapsed="false" customWidth="true" hidden="false" outlineLevel="0" max="5" min="2" style="1" width="15.78"/>
    <col collapsed="false" customWidth="true" hidden="false" outlineLevel="0" max="6" min="6" style="1" width="60.89"/>
    <col collapsed="false" customWidth="true" hidden="false" outlineLevel="0" max="1025" min="7" style="1" width="8.56"/>
  </cols>
  <sheetData>
    <row r="1" customFormat="false" ht="77.25" hidden="false" customHeight="true" outlineLevel="0" collapsed="false">
      <c r="A1" s="173" t="s">
        <v>0</v>
      </c>
      <c r="B1" s="173"/>
      <c r="C1" s="173"/>
      <c r="D1" s="173"/>
      <c r="E1" s="173"/>
      <c r="F1" s="173"/>
      <c r="G1" s="201" t="s">
        <v>64</v>
      </c>
      <c r="H1" s="201"/>
      <c r="I1" s="202"/>
      <c r="J1" s="203"/>
      <c r="K1" s="203"/>
    </row>
    <row r="2" customFormat="false" ht="20.25" hidden="false" customHeight="true" outlineLevel="0" collapsed="false">
      <c r="A2" s="174" t="s">
        <v>227</v>
      </c>
      <c r="B2" s="174"/>
      <c r="C2" s="174"/>
      <c r="D2" s="5"/>
      <c r="E2" s="5"/>
      <c r="F2" s="5"/>
      <c r="G2" s="5"/>
      <c r="H2" s="5"/>
      <c r="I2" s="5"/>
      <c r="J2" s="5"/>
      <c r="K2" s="5"/>
      <c r="L2" s="5"/>
    </row>
    <row r="3" customFormat="false" ht="15.75" hidden="false" customHeight="true" outlineLevel="0" collapsed="false">
      <c r="A3" s="204" t="s">
        <v>228</v>
      </c>
      <c r="B3" s="204"/>
      <c r="C3" s="204"/>
      <c r="D3" s="205"/>
      <c r="E3" s="5"/>
      <c r="F3" s="5"/>
      <c r="G3" s="5"/>
      <c r="H3" s="5"/>
      <c r="I3" s="5"/>
      <c r="J3" s="5"/>
      <c r="K3" s="5"/>
      <c r="L3" s="5"/>
    </row>
    <row r="4" customFormat="false" ht="24.4" hidden="false" customHeight="true" outlineLevel="0" collapsed="false">
      <c r="A4" s="188" t="s">
        <v>229</v>
      </c>
      <c r="B4" s="206"/>
      <c r="C4" s="188" t="s">
        <v>230</v>
      </c>
      <c r="D4" s="206"/>
      <c r="E4" s="5"/>
      <c r="F4" s="5"/>
      <c r="G4" s="5"/>
      <c r="H4" s="5"/>
      <c r="I4" s="5"/>
      <c r="J4" s="5"/>
      <c r="K4" s="5"/>
      <c r="L4" s="5"/>
    </row>
    <row r="5" s="19" customFormat="true" ht="28.5" hidden="false" customHeight="true" outlineLevel="0" collapsed="false">
      <c r="A5" s="188" t="s">
        <v>231</v>
      </c>
      <c r="B5" s="206"/>
      <c r="C5" s="188" t="s">
        <v>232</v>
      </c>
      <c r="D5" s="207"/>
      <c r="E5" s="208" t="str">
        <f aca="false">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08"/>
      <c r="G5" s="209"/>
      <c r="H5" s="209"/>
      <c r="I5" s="209"/>
      <c r="J5" s="209"/>
      <c r="K5" s="209"/>
    </row>
    <row r="6" customFormat="false" ht="6" hidden="false" customHeight="true" outlineLevel="0" collapsed="false">
      <c r="A6" s="210"/>
      <c r="B6" s="210"/>
      <c r="C6" s="210"/>
      <c r="D6" s="210"/>
      <c r="E6" s="210"/>
      <c r="F6" s="210"/>
      <c r="G6" s="4"/>
      <c r="H6" s="4"/>
      <c r="I6" s="4"/>
      <c r="J6" s="4"/>
      <c r="K6" s="4"/>
      <c r="L6" s="4"/>
    </row>
    <row r="7" s="212" customFormat="true" ht="64.5" hidden="false" customHeight="true" outlineLevel="0" collapsed="false">
      <c r="A7" s="188" t="s">
        <v>233</v>
      </c>
      <c r="B7" s="211" t="s">
        <v>234</v>
      </c>
      <c r="C7" s="211" t="s">
        <v>235</v>
      </c>
      <c r="D7" s="211" t="s">
        <v>236</v>
      </c>
      <c r="E7" s="211" t="s">
        <v>237</v>
      </c>
      <c r="F7" s="187" t="s">
        <v>238</v>
      </c>
      <c r="G7" s="203"/>
      <c r="H7" s="203"/>
      <c r="I7" s="203"/>
      <c r="J7" s="203"/>
      <c r="K7" s="203"/>
      <c r="L7" s="203"/>
    </row>
    <row r="8" s="19" customFormat="true" ht="15" hidden="false" customHeight="false" outlineLevel="0" collapsed="false">
      <c r="A8" s="213" t="s">
        <v>239</v>
      </c>
      <c r="B8" s="214"/>
      <c r="C8" s="215"/>
      <c r="D8" s="215"/>
      <c r="E8" s="215"/>
      <c r="F8" s="216"/>
      <c r="G8" s="4"/>
      <c r="H8" s="4"/>
      <c r="I8" s="4"/>
      <c r="J8" s="4"/>
      <c r="K8" s="4"/>
      <c r="L8" s="4"/>
    </row>
    <row r="9" customFormat="false" ht="46.5" hidden="false" customHeight="true" outlineLevel="0" collapsed="false">
      <c r="A9" s="217" t="s">
        <v>240</v>
      </c>
      <c r="B9" s="218"/>
      <c r="C9" s="218"/>
      <c r="D9" s="218"/>
      <c r="E9" s="219" t="s">
        <v>241</v>
      </c>
      <c r="F9" s="219"/>
      <c r="G9" s="220" t="str">
        <f aca="false">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20"/>
      <c r="I9" s="220"/>
      <c r="J9" s="220"/>
      <c r="K9" s="220"/>
      <c r="L9" s="220"/>
    </row>
    <row r="10" customFormat="false" ht="45.75" hidden="false" customHeight="true" outlineLevel="0" collapsed="false">
      <c r="A10" s="217" t="s">
        <v>242</v>
      </c>
      <c r="B10" s="218"/>
      <c r="C10" s="218"/>
      <c r="D10" s="218"/>
      <c r="E10" s="219" t="s">
        <v>241</v>
      </c>
      <c r="F10" s="219"/>
      <c r="G10" s="220" t="str">
        <f aca="false">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20"/>
      <c r="I10" s="220"/>
      <c r="J10" s="220"/>
      <c r="K10" s="220"/>
      <c r="L10" s="220"/>
    </row>
    <row r="11" customFormat="false" ht="45.75" hidden="false" customHeight="true" outlineLevel="0" collapsed="false">
      <c r="A11" s="217" t="s">
        <v>243</v>
      </c>
      <c r="B11" s="218"/>
      <c r="C11" s="218"/>
      <c r="D11" s="218"/>
      <c r="E11" s="219" t="s">
        <v>241</v>
      </c>
      <c r="F11" s="219"/>
      <c r="G11" s="220" t="str">
        <f aca="false">IF(OR(B11="",D11=""),"Please add original baseline and forecast date",IF(B11=C11,"Please delete Rebaseline as same as Original Baseline",IF(D11=B11,"",IF(AND(D11&lt;&gt;B11,G185=""),CONCATENATE(D11-B11," / ",IF(C11&lt;&gt;"",D11-C11,"-")," days change from the Original Baseline / Rebaseline - please provide reason if considered significant change. If Rebaselined, please provide reason"),IF(C11="",CONCATENATE(D11-B11," days change from the Original Baseline"),CONCATENATE(D11-B11," days change from the Original Baseline; ",D11-C11," days change from the rebaseline"))))))</f>
        <v>Please add original baseline and forecast date</v>
      </c>
      <c r="H11" s="220"/>
      <c r="I11" s="220"/>
      <c r="J11" s="220"/>
      <c r="K11" s="220"/>
      <c r="L11" s="220"/>
    </row>
    <row r="12" customFormat="false" ht="45.75" hidden="false" customHeight="true" outlineLevel="0" collapsed="false">
      <c r="A12" s="217" t="s">
        <v>244</v>
      </c>
      <c r="B12" s="218"/>
      <c r="C12" s="218"/>
      <c r="D12" s="218"/>
      <c r="E12" s="219" t="s">
        <v>241</v>
      </c>
      <c r="F12" s="219"/>
      <c r="G12" s="220" t="str">
        <f aca="false">IF(OR(B12="",D12=""),"Please add original baseline and forecast date",IF(B12=C12,"Please delete Rebaseline as same as Original Baseline",IF(D12=B12,"",IF(AND(D12&lt;&gt;B12,G186=""),CONCATENATE(D12-B12," / ",IF(C12&lt;&gt;"",D12-C12,"-")," days change from the Original Baseline / Rebaseline - please provide reason if considered significant change. If Rebaselined, please provide reason"),IF(C12="",CONCATENATE(D12-B12," days change from the Original Baseline"),CONCATENATE(D12-B12," days change from the Original Baseline; ",D12-C12," days change from the rebaseline"))))))</f>
        <v>Please add original baseline and forecast date</v>
      </c>
      <c r="H12" s="220"/>
      <c r="I12" s="220"/>
      <c r="J12" s="220"/>
      <c r="K12" s="220"/>
      <c r="L12" s="220"/>
    </row>
    <row r="13" customFormat="false" ht="45.75" hidden="false" customHeight="true" outlineLevel="0" collapsed="false">
      <c r="A13" s="217" t="s">
        <v>245</v>
      </c>
      <c r="B13" s="218"/>
      <c r="C13" s="218"/>
      <c r="D13" s="218"/>
      <c r="E13" s="219" t="s">
        <v>241</v>
      </c>
      <c r="F13" s="219"/>
      <c r="G13" s="220" t="str">
        <f aca="false">IF(OR(B13="",D13=""),"Please add original baseline and forecast date",IF(B13=C13,"Please delete Rebaseline as same as Original Baseline",IF(D13=B13,"",IF(AND(D13&lt;&gt;B13,G187=""),CONCATENATE(D13-B13," / ",IF(C13&lt;&gt;"",D13-C13,"-")," days change from the Original Baseline / Rebaseline - please provide reason if considered significant change. If Rebaselined, please provide reason"),IF(C13="",CONCATENATE(D13-B13," days change from the Original Baseline"),CONCATENATE(D13-B13," days change from the Original Baseline; ",D13-C13," days change from the rebaseline"))))))</f>
        <v>Please add original baseline and forecast date</v>
      </c>
      <c r="H13" s="220"/>
      <c r="I13" s="220"/>
      <c r="J13" s="220"/>
      <c r="K13" s="220"/>
      <c r="L13" s="220"/>
    </row>
    <row r="14" customFormat="false" ht="45.75" hidden="false" customHeight="true" outlineLevel="0" collapsed="false">
      <c r="A14" s="217" t="s">
        <v>246</v>
      </c>
      <c r="B14" s="218"/>
      <c r="C14" s="218"/>
      <c r="D14" s="218"/>
      <c r="E14" s="219" t="s">
        <v>241</v>
      </c>
      <c r="F14" s="219"/>
      <c r="G14" s="220" t="str">
        <f aca="false">IF(OR(B14="",D14=""),"Please add original baseline and forecast date",IF(B14=C14,"Please delete Rebaseline as same as Original Baseline",IF(D14=B14,"",IF(AND(D14&lt;&gt;B14,G188=""),CONCATENATE(D14-B14," / ",IF(C14&lt;&gt;"",D14-C14,"-")," days change from the Original Baseline / Rebaseline - please provide reason if considered significant change. If Rebaselined, please provide reason"),IF(C14="",CONCATENATE(D14-B14," days change from the Original Baseline"),CONCATENATE(D14-B14," days change from the Original Baseline; ",D14-C14," days change from the rebaseline"))))))</f>
        <v>Please add original baseline and forecast date</v>
      </c>
      <c r="H14" s="220"/>
      <c r="I14" s="220"/>
      <c r="J14" s="220"/>
      <c r="K14" s="220"/>
      <c r="L14" s="220"/>
    </row>
    <row r="15" customFormat="false" ht="45.75" hidden="false" customHeight="true" outlineLevel="0" collapsed="false">
      <c r="A15" s="217" t="s">
        <v>247</v>
      </c>
      <c r="B15" s="218"/>
      <c r="C15" s="218"/>
      <c r="D15" s="218"/>
      <c r="E15" s="219" t="s">
        <v>241</v>
      </c>
      <c r="F15" s="219"/>
      <c r="G15" s="220" t="str">
        <f aca="false">IF(OR(B15="",D15=""),"Please add original baseline and forecast date",IF(B15=C15,"Please delete Rebaseline as same as Original Baseline",IF(D15=B15,"",IF(AND(D15&lt;&gt;B15,G189=""),CONCATENATE(D15-B15," / ",IF(C15&lt;&gt;"",D15-C15,"-")," days change from the Original Baseline / Rebaseline - please provide reason if considered significant change. If Rebaselined, please provide reason"),IF(C15="",CONCATENATE(D15-B15," days change from the Original Baseline"),CONCATENATE(D15-B15," days change from the Original Baseline; ",D15-C15," days change from the rebaseline"))))))</f>
        <v>Please add original baseline and forecast date</v>
      </c>
      <c r="H15" s="220"/>
      <c r="I15" s="220"/>
      <c r="J15" s="220"/>
      <c r="K15" s="220"/>
      <c r="L15" s="220"/>
    </row>
    <row r="16" customFormat="false" ht="45.75" hidden="false" customHeight="true" outlineLevel="0" collapsed="false">
      <c r="A16" s="217" t="s">
        <v>248</v>
      </c>
      <c r="B16" s="218"/>
      <c r="C16" s="218"/>
      <c r="D16" s="218"/>
      <c r="E16" s="219" t="s">
        <v>241</v>
      </c>
      <c r="F16" s="219"/>
      <c r="G16" s="220" t="str">
        <f aca="false">IF(OR(B16="",D16=""),"Please add original baseline and forecast date",IF(B16=C16,"Please delete Rebaseline as same as Original Baseline",IF(D16=B16,"",IF(AND(D16&lt;&gt;B16,G190=""),CONCATENATE(D16-B16," / ",IF(C16&lt;&gt;"",D16-C16,"-")," days change from the Original Baseline / Rebaseline - please provide reason if considered significant change. If Rebaselined, please provide reason"),IF(C16="",CONCATENATE(D16-B16," days change from the Original Baseline"),CONCATENATE(D16-B16," days change from the Original Baseline; ",D16-C16," days change from the rebaseline"))))))</f>
        <v>Please add original baseline and forecast date</v>
      </c>
      <c r="H16" s="220"/>
      <c r="I16" s="220"/>
      <c r="J16" s="220"/>
      <c r="K16" s="220"/>
      <c r="L16" s="220"/>
    </row>
    <row r="17" customFormat="false" ht="45.75" hidden="false" customHeight="true" outlineLevel="0" collapsed="false">
      <c r="A17" s="217" t="s">
        <v>249</v>
      </c>
      <c r="B17" s="218"/>
      <c r="C17" s="218"/>
      <c r="D17" s="218"/>
      <c r="E17" s="219" t="s">
        <v>241</v>
      </c>
      <c r="F17" s="219"/>
      <c r="G17" s="220" t="str">
        <f aca="false">IF(OR(B17="",D17=""),"Please add original baseline and forecast date",IF(B17=C17,"Please delete Rebaseline as same as Original Baseline",IF(D17=B17,"",IF(AND(D17&lt;&gt;B17,G191=""),CONCATENATE(D17-B17," / ",IF(C17&lt;&gt;"",D17-C17,"-")," days change from the Original Baseline / Rebaseline - please provide reason if considered significant change. If Rebaselined, please provide reason"),IF(C17="",CONCATENATE(D17-B17," days change from the Original Baseline"),CONCATENATE(D17-B17," days change from the Original Baseline; ",D17-C17," days change from the rebaseline"))))))</f>
        <v>Please add original baseline and forecast date</v>
      </c>
      <c r="H17" s="220"/>
      <c r="I17" s="220"/>
      <c r="J17" s="220"/>
      <c r="K17" s="220"/>
      <c r="L17" s="220"/>
    </row>
    <row r="18" customFormat="false" ht="45.75" hidden="false" customHeight="true" outlineLevel="0" collapsed="false">
      <c r="A18" s="217" t="s">
        <v>250</v>
      </c>
      <c r="B18" s="218"/>
      <c r="C18" s="218"/>
      <c r="D18" s="218"/>
      <c r="E18" s="219" t="s">
        <v>241</v>
      </c>
      <c r="F18" s="219"/>
      <c r="G18" s="220" t="str">
        <f aca="false">IF(OR(B18="",D18=""),"Please add original baseline and forecast date",IF(B18=C18,"Please delete Rebaseline as same as Original Baseline",IF(D18=B18,"",IF(AND(D18&lt;&gt;B18,G192=""),CONCATENATE(D18-B18," / ",IF(C18&lt;&gt;"",D18-C18,"-")," days change from the Original Baseline / Rebaseline - please provide reason if considered significant change. If Rebaselined, please provide reason"),IF(C18="",CONCATENATE(D18-B18," days change from the Original Baseline"),CONCATENATE(D18-B18," days change from the Original Baseline; ",D18-C18," days change from the rebaseline"))))))</f>
        <v>Please add original baseline and forecast date</v>
      </c>
      <c r="H18" s="220"/>
      <c r="I18" s="220"/>
      <c r="J18" s="220"/>
      <c r="K18" s="220"/>
      <c r="L18" s="220"/>
    </row>
    <row r="19" customFormat="false" ht="45.75" hidden="false" customHeight="true" outlineLevel="0" collapsed="false">
      <c r="A19" s="217" t="s">
        <v>251</v>
      </c>
      <c r="B19" s="218"/>
      <c r="C19" s="218"/>
      <c r="D19" s="218"/>
      <c r="E19" s="219" t="s">
        <v>241</v>
      </c>
      <c r="F19" s="219"/>
      <c r="G19" s="220" t="str">
        <f aca="false">IF(OR(B19="",D19=""),"Please add original baseline and forecast date",IF(B19=C19,"Please delete Rebaseline as same as Original Baseline",IF(D19=B19,"",IF(AND(D19&lt;&gt;B19,G193=""),CONCATENATE(D19-B19," / ",IF(C19&lt;&gt;"",D19-C19,"-")," days change from the Original Baseline / Rebaseline - please provide reason if considered significant change. If Rebaselined, please provide reason"),IF(C19="",CONCATENATE(D19-B19," days change from the Original Baseline"),CONCATENATE(D19-B19," days change from the Original Baseline; ",D19-C19," days change from the rebaseline"))))))</f>
        <v>Please add original baseline and forecast date</v>
      </c>
      <c r="H19" s="220"/>
      <c r="I19" s="220"/>
      <c r="J19" s="220"/>
      <c r="K19" s="220"/>
      <c r="L19" s="220"/>
    </row>
    <row r="20" customFormat="false" ht="45.75" hidden="false" customHeight="true" outlineLevel="0" collapsed="false">
      <c r="A20" s="221" t="s">
        <v>252</v>
      </c>
      <c r="B20" s="218"/>
      <c r="C20" s="218"/>
      <c r="D20" s="218"/>
      <c r="E20" s="219" t="s">
        <v>253</v>
      </c>
      <c r="F20" s="219"/>
      <c r="G20" s="220" t="str">
        <f aca="false">IF(OR(B20="",D20=""),"Please add original baseline and forecast date",IF(B20=C20,"Please delete Rebaseline as same as Original Baseline",IF(D20=B20,"",IF(AND(D20&lt;&gt;B20,G194=""),CONCATENATE(D20-B20," / ",IF(C20&lt;&gt;"",D20-C20,"-")," days change from the Original Baseline / Rebaseline - please provide reason if considered significant change. If Rebaselined, please provide reason"),IF(C20="",CONCATENATE(D20-B20," days change from the Original Baseline"),CONCATENATE(D20-B20," days change from the Original Baseline; ",D20-C20," days change from the rebaseline"))))))</f>
        <v>Please add original baseline and forecast date</v>
      </c>
      <c r="H20" s="220"/>
      <c r="I20" s="220"/>
      <c r="J20" s="220"/>
      <c r="K20" s="220"/>
      <c r="L20" s="220"/>
    </row>
    <row r="21" customFormat="false" ht="45.75" hidden="false" customHeight="true" outlineLevel="0" collapsed="false">
      <c r="A21" s="221" t="s">
        <v>254</v>
      </c>
      <c r="B21" s="218"/>
      <c r="C21" s="218"/>
      <c r="D21" s="218"/>
      <c r="E21" s="219" t="s">
        <v>253</v>
      </c>
      <c r="F21" s="219"/>
      <c r="G21" s="220" t="str">
        <f aca="false">IF(OR(B21="",D21=""),"Please add original baseline and forecast date",IF(B21=C21,"Please delete Rebaseline as same as Original Baseline",IF(D21=B21,"",IF(AND(D21&lt;&gt;B21,G195=""),CONCATENATE(D21-B21," / ",IF(C21&lt;&gt;"",D21-C21,"-")," days change from the Original Baseline / Rebaseline - please provide reason if considered significant change. If Rebaselined, please provide reason"),IF(C21="",CONCATENATE(D21-B21," days change from the Original Baseline"),CONCATENATE(D21-B21," days change from the Original Baseline; ",D21-C21," days change from the rebaseline"))))))</f>
        <v>Please add original baseline and forecast date</v>
      </c>
      <c r="H21" s="220"/>
      <c r="I21" s="220"/>
      <c r="J21" s="220"/>
      <c r="K21" s="220"/>
      <c r="L21" s="220"/>
    </row>
    <row r="22" customFormat="false" ht="45.75" hidden="false" customHeight="true" outlineLevel="0" collapsed="false">
      <c r="A22" s="221" t="s">
        <v>255</v>
      </c>
      <c r="B22" s="218"/>
      <c r="C22" s="218"/>
      <c r="D22" s="218"/>
      <c r="E22" s="219" t="s">
        <v>253</v>
      </c>
      <c r="F22" s="219"/>
      <c r="G22" s="220" t="str">
        <f aca="false">IF(OR(B22="",D22=""),"Please add original baseline and forecast date",IF(B22=C22,"Please delete Rebaseline as same as Original Baseline",IF(D22=B22,"",IF(AND(D22&lt;&gt;B22,G196=""),CONCATENATE(D22-B22," / ",IF(C22&lt;&gt;"",D22-C22,"-")," days change from the Original Baseline / Rebaseline - please provide reason if considered significant change. If Rebaselined, please provide reason"),IF(C22="",CONCATENATE(D22-B22," days change from the Original Baseline"),CONCATENATE(D22-B22," days change from the Original Baseline; ",D22-C22," days change from the rebaseline"))))))</f>
        <v>Please add original baseline and forecast date</v>
      </c>
      <c r="H22" s="220"/>
      <c r="I22" s="220"/>
      <c r="J22" s="220"/>
      <c r="K22" s="220"/>
      <c r="L22" s="220"/>
    </row>
    <row r="23" customFormat="false" ht="45.75" hidden="false" customHeight="true" outlineLevel="0" collapsed="false">
      <c r="A23" s="221" t="s">
        <v>256</v>
      </c>
      <c r="B23" s="218"/>
      <c r="C23" s="218"/>
      <c r="D23" s="218"/>
      <c r="E23" s="219" t="s">
        <v>253</v>
      </c>
      <c r="F23" s="219"/>
      <c r="G23" s="220" t="str">
        <f aca="false">IF(OR(B23="",D23=""),"Please add original baseline and forecast date",IF(B23=C23,"Please delete Rebaseline as same as Original Baseline",IF(D23=B23,"",IF(AND(D23&lt;&gt;B23,G197=""),CONCATENATE(D23-B23," / ",IF(C23&lt;&gt;"",D23-C23,"-")," days change from the Original Baseline / Rebaseline - please provide reason if considered significant change. If Rebaselined, please provide reason"),IF(C23="",CONCATENATE(D23-B23," days change from the Original Baseline"),CONCATENATE(D23-B23," days change from the Original Baseline; ",D23-C23," days change from the rebaseline"))))))</f>
        <v>Please add original baseline and forecast date</v>
      </c>
      <c r="H23" s="220"/>
      <c r="I23" s="220"/>
      <c r="J23" s="220"/>
      <c r="K23" s="220"/>
      <c r="L23" s="220"/>
    </row>
    <row r="24" customFormat="false" ht="45.75" hidden="false" customHeight="true" outlineLevel="0" collapsed="false">
      <c r="A24" s="221" t="s">
        <v>257</v>
      </c>
      <c r="B24" s="218"/>
      <c r="C24" s="218"/>
      <c r="D24" s="218"/>
      <c r="E24" s="219" t="s">
        <v>253</v>
      </c>
      <c r="F24" s="219"/>
      <c r="G24" s="220" t="str">
        <f aca="false">IF(OR(B24="",D24=""),"Please add original baseline and forecast date",IF(B24=C24,"Please delete Rebaseline as same as Original Baseline",IF(D24=B24,"",IF(AND(D24&lt;&gt;B24,G198=""),CONCATENATE(D24-B24," / ",IF(C24&lt;&gt;"",D24-C24,"-")," days change from the Original Baseline / Rebaseline - please provide reason if considered significant change. If Rebaselined, please provide reason"),IF(C24="",CONCATENATE(D24-B24," days change from the Original Baseline"),CONCATENATE(D24-B24," days change from the Original Baseline; ",D24-C24," days change from the rebaseline"))))))</f>
        <v>Please add original baseline and forecast date</v>
      </c>
      <c r="H24" s="220"/>
      <c r="I24" s="220"/>
      <c r="J24" s="220"/>
      <c r="K24" s="220"/>
      <c r="L24" s="220"/>
    </row>
    <row r="25" customFormat="false" ht="15" hidden="false" customHeight="false" outlineLevel="0" collapsed="false">
      <c r="A25" s="213" t="s">
        <v>258</v>
      </c>
      <c r="B25" s="214"/>
      <c r="C25" s="215"/>
      <c r="D25" s="215"/>
      <c r="E25" s="215"/>
      <c r="F25" s="222"/>
      <c r="G25" s="4"/>
      <c r="H25" s="4"/>
      <c r="I25" s="4"/>
      <c r="J25" s="4"/>
      <c r="K25" s="4"/>
      <c r="L25" s="4"/>
    </row>
    <row r="26" customFormat="false" ht="45.75" hidden="false" customHeight="true" outlineLevel="0" collapsed="false">
      <c r="A26" s="223" t="s">
        <v>259</v>
      </c>
      <c r="B26" s="218"/>
      <c r="C26" s="218"/>
      <c r="D26" s="218"/>
      <c r="E26" s="207" t="s">
        <v>260</v>
      </c>
      <c r="F26" s="219"/>
      <c r="G26" s="220" t="str">
        <f aca="false">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20"/>
      <c r="I26" s="220"/>
      <c r="J26" s="220"/>
      <c r="K26" s="220"/>
      <c r="L26" s="220"/>
    </row>
    <row r="27" customFormat="false" ht="45.75" hidden="false" customHeight="true" outlineLevel="0" collapsed="false">
      <c r="A27" s="223" t="s">
        <v>261</v>
      </c>
      <c r="B27" s="218"/>
      <c r="C27" s="218"/>
      <c r="D27" s="218"/>
      <c r="E27" s="224" t="s">
        <v>262</v>
      </c>
      <c r="F27" s="219"/>
      <c r="G27" s="220" t="str">
        <f aca="false">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20"/>
      <c r="I27" s="220"/>
      <c r="J27" s="220"/>
      <c r="K27" s="220"/>
      <c r="L27" s="220"/>
    </row>
    <row r="28" customFormat="false" ht="45.75" hidden="false" customHeight="true" outlineLevel="0" collapsed="false">
      <c r="A28" s="223" t="s">
        <v>263</v>
      </c>
      <c r="B28" s="218"/>
      <c r="C28" s="218"/>
      <c r="D28" s="218"/>
      <c r="E28" s="224" t="s">
        <v>264</v>
      </c>
      <c r="F28" s="219"/>
      <c r="G28" s="220" t="str">
        <f aca="false">IF(OR(B28="",D28=""),"Please add original baseline and forecast date",IF(B28=C28,"Please delete Rebaseline as same as Original Baseline",IF(D28=B28,"",IF(AND(D28&lt;&gt;B28,G202=""),CONCATENATE(D28-B28," / ",IF(C28&lt;&gt;"",D28-C28,"-")," days change from the Original Baseline / Rebaseline - please provide reason if considered significant change. If Rebaselined, please provide reason"),IF(C28="",CONCATENATE(D28-B28," days change from the Original Baseline"),CONCATENATE(D28-B28," days change from the Original Baseline; ",D28-C28," days change from the rebaseline"))))))</f>
        <v>Please add original baseline and forecast date</v>
      </c>
      <c r="H28" s="220"/>
      <c r="I28" s="220"/>
      <c r="J28" s="220"/>
      <c r="K28" s="220"/>
      <c r="L28" s="220"/>
    </row>
    <row r="29" customFormat="false" ht="45.75" hidden="false" customHeight="true" outlineLevel="0" collapsed="false">
      <c r="A29" s="223" t="s">
        <v>265</v>
      </c>
      <c r="B29" s="218"/>
      <c r="C29" s="218"/>
      <c r="D29" s="218"/>
      <c r="E29" s="207" t="s">
        <v>266</v>
      </c>
      <c r="F29" s="219"/>
      <c r="G29" s="220" t="str">
        <f aca="false">IF(OR(B29="",D29=""),"Please add original baseline and forecast date",IF(B29=C29,"Please delete Rebaseline as same as Original Baseline",IF(D29=B29,"",IF(AND(D29&lt;&gt;B29,G203=""),CONCATENATE(D29-B29," / ",IF(C29&lt;&gt;"",D29-C29,"-")," days change from the Original Baseline / Rebaseline - please provide reason if considered significant change. If Rebaselined, please provide reason"),IF(C29="",CONCATENATE(D29-B29," days change from the Original Baseline"),CONCATENATE(D29-B29," days change from the Original Baseline; ",D29-C29," days change from the rebaseline"))))))</f>
        <v>Please add original baseline and forecast date</v>
      </c>
      <c r="H29" s="220"/>
      <c r="I29" s="220"/>
      <c r="J29" s="220"/>
      <c r="K29" s="220"/>
      <c r="L29" s="220"/>
    </row>
    <row r="30" customFormat="false" ht="45.75" hidden="false" customHeight="true" outlineLevel="0" collapsed="false">
      <c r="A30" s="223" t="s">
        <v>267</v>
      </c>
      <c r="B30" s="218"/>
      <c r="C30" s="218"/>
      <c r="D30" s="218"/>
      <c r="E30" s="207" t="s">
        <v>268</v>
      </c>
      <c r="F30" s="219"/>
      <c r="G30" s="220" t="str">
        <f aca="false">IF(OR(B30="",D30=""),"Please add original baseline and forecast date",IF(B30=C30,"Please delete Rebaseline as same as Original Baseline",IF(D30=B30,"",IF(AND(D30&lt;&gt;B30,G204=""),CONCATENATE(D30-B30," / ",IF(C30&lt;&gt;"",D30-C30,"-")," days change from the Original Baseline / Rebaseline - please provide reason if considered significant change. If Rebaselined, please provide reason"),IF(C30="",CONCATENATE(D30-B30," days change from the Original Baseline"),CONCATENATE(D30-B30," days change from the Original Baseline; ",D30-C30," days change from the rebaseline"))))))</f>
        <v>Please add original baseline and forecast date</v>
      </c>
      <c r="H30" s="220"/>
      <c r="I30" s="220"/>
      <c r="J30" s="220"/>
      <c r="K30" s="220"/>
      <c r="L30" s="220"/>
    </row>
    <row r="31" customFormat="false" ht="45.75" hidden="false" customHeight="true" outlineLevel="0" collapsed="false">
      <c r="A31" s="225" t="s">
        <v>269</v>
      </c>
      <c r="B31" s="218"/>
      <c r="C31" s="218"/>
      <c r="D31" s="218"/>
      <c r="E31" s="224"/>
      <c r="F31" s="219"/>
      <c r="G31" s="220" t="str">
        <f aca="false">IF(OR(B31="",D31=""),"Please add original baseline and forecast date",IF(B31=C31,"Please delete Rebaseline as same as Original Baseline",IF(D31=B31,"",IF(AND(D31&lt;&gt;B31,G205=""),CONCATENATE(D31-B31," / ",IF(C31&lt;&gt;"",D31-C31,"-")," days change from the Original Baseline / Rebaseline - please provide reason if considered significant change. If Rebaselined, please provide reason"),IF(C31="",CONCATENATE(D31-B31," days change from the Original Baseline"),CONCATENATE(D31-B31," days change from the Original Baseline; ",D31-C31," days change from the rebaseline"))))))</f>
        <v>Please add original baseline and forecast date</v>
      </c>
      <c r="H31" s="220"/>
      <c r="I31" s="220"/>
      <c r="J31" s="220"/>
      <c r="K31" s="220"/>
      <c r="L31" s="220"/>
    </row>
    <row r="32" customFormat="false" ht="45.75" hidden="false" customHeight="true" outlineLevel="0" collapsed="false">
      <c r="A32" s="225" t="s">
        <v>270</v>
      </c>
      <c r="B32" s="218"/>
      <c r="C32" s="218"/>
      <c r="D32" s="218"/>
      <c r="E32" s="224"/>
      <c r="F32" s="219"/>
      <c r="G32" s="220" t="str">
        <f aca="false">IF(OR(B32="",D32=""),"Please add original baseline and forecast date",IF(B32=C32,"Please delete Rebaseline as same as Original Baseline",IF(D32=B32,"",IF(AND(D32&lt;&gt;B32,G206=""),CONCATENATE(D32-B32," / ",IF(C32&lt;&gt;"",D32-C32,"-")," days change from the Original Baseline / Rebaseline - please provide reason if considered significant change. If Rebaselined, please provide reason"),IF(C32="",CONCATENATE(D32-B32," days change from the Original Baseline"),CONCATENATE(D32-B32," days change from the Original Baseline; ",D32-C32," days change from the rebaseline"))))))</f>
        <v>Please add original baseline and forecast date</v>
      </c>
      <c r="H32" s="220"/>
      <c r="I32" s="220"/>
      <c r="J32" s="220"/>
      <c r="K32" s="220"/>
      <c r="L32" s="220"/>
    </row>
    <row r="33" customFormat="false" ht="45.75" hidden="false" customHeight="true" outlineLevel="0" collapsed="false">
      <c r="A33" s="225" t="s">
        <v>271</v>
      </c>
      <c r="B33" s="218"/>
      <c r="C33" s="218"/>
      <c r="D33" s="218"/>
      <c r="E33" s="224"/>
      <c r="F33" s="219"/>
      <c r="G33" s="220" t="str">
        <f aca="false">IF(OR(B33="",D33=""),"Please add original baseline and forecast date",IF(B33=C33,"Please delete Rebaseline as same as Original Baseline",IF(D33=B33,"",IF(AND(D33&lt;&gt;B33,G207=""),CONCATENATE(D33-B33," / ",IF(C33&lt;&gt;"",D33-C33,"-")," days change from the Original Baseline / Rebaseline - please provide reason if considered significant change. If Rebaselined, please provide reason"),IF(C33="",CONCATENATE(D33-B33," days change from the Original Baseline"),CONCATENATE(D33-B33," days change from the Original Baseline; ",D33-C33," days change from the rebaseline"))))))</f>
        <v>Please add original baseline and forecast date</v>
      </c>
      <c r="H33" s="220"/>
      <c r="I33" s="220"/>
      <c r="J33" s="220"/>
      <c r="K33" s="220"/>
      <c r="L33" s="220"/>
    </row>
    <row r="34" customFormat="false" ht="45.75" hidden="false" customHeight="true" outlineLevel="0" collapsed="false">
      <c r="A34" s="225" t="s">
        <v>272</v>
      </c>
      <c r="B34" s="218"/>
      <c r="C34" s="218"/>
      <c r="D34" s="218"/>
      <c r="E34" s="224"/>
      <c r="F34" s="219"/>
      <c r="G34" s="220" t="str">
        <f aca="false">IF(OR(B34="",D34=""),"Please add original baseline and forecast date",IF(B34=C34,"Please delete Rebaseline as same as Original Baseline",IF(D34=B34,"",IF(AND(D34&lt;&gt;B34,G208=""),CONCATENATE(D34-B34," / ",IF(C34&lt;&gt;"",D34-C34,"-")," days change from the Original Baseline / Rebaseline - please provide reason if considered significant change. If Rebaselined, please provide reason"),IF(C34="",CONCATENATE(D34-B34," days change from the Original Baseline"),CONCATENATE(D34-B34," days change from the Original Baseline; ",D34-C34," days change from the rebaseline"))))))</f>
        <v>Please add original baseline and forecast date</v>
      </c>
      <c r="H34" s="220"/>
      <c r="I34" s="220"/>
      <c r="J34" s="220"/>
      <c r="K34" s="220"/>
      <c r="L34" s="220"/>
    </row>
    <row r="35" customFormat="false" ht="45.75" hidden="false" customHeight="true" outlineLevel="0" collapsed="false">
      <c r="A35" s="225" t="s">
        <v>273</v>
      </c>
      <c r="B35" s="218"/>
      <c r="C35" s="218"/>
      <c r="D35" s="218"/>
      <c r="E35" s="224"/>
      <c r="F35" s="219"/>
      <c r="G35" s="220" t="str">
        <f aca="false">IF(OR(B35="",D35=""),"Please add original baseline and forecast date",IF(B35=C35,"Please delete Rebaseline as same as Original Baseline",IF(D35=B35,"",IF(AND(D35&lt;&gt;B35,G209=""),CONCATENATE(D35-B35," / ",IF(C35&lt;&gt;"",D35-C35,"-")," days change from the Original Baseline / Rebaseline - please provide reason if considered significant change. If Rebaselined, please provide reason"),IF(C35="",CONCATENATE(D35-B35," days change from the Original Baseline"),CONCATENATE(D35-B35," days change from the Original Baseline; ",D35-C35," days change from the rebaseline"))))))</f>
        <v>Please add original baseline and forecast date</v>
      </c>
      <c r="H35" s="220"/>
      <c r="I35" s="220"/>
      <c r="J35" s="220"/>
      <c r="K35" s="220"/>
      <c r="L35" s="220"/>
    </row>
    <row r="36" customFormat="false" ht="45.75" hidden="false" customHeight="true" outlineLevel="0" collapsed="false">
      <c r="A36" s="225" t="s">
        <v>274</v>
      </c>
      <c r="B36" s="218"/>
      <c r="C36" s="218"/>
      <c r="D36" s="218"/>
      <c r="E36" s="224"/>
      <c r="F36" s="219"/>
      <c r="G36" s="220" t="str">
        <f aca="false">IF(OR(B36="",D36=""),"Please add original baseline and forecast date",IF(B36=C36,"Please delete Rebaseline as same as Original Baseline",IF(D36=B36,"",IF(AND(D36&lt;&gt;B36,G210=""),CONCATENATE(D36-B36," / ",IF(C36&lt;&gt;"",D36-C36,"-")," days change from the Original Baseline / Rebaseline - please provide reason if considered significant change. If Rebaselined, please provide reason"),IF(C36="",CONCATENATE(D36-B36," days change from the Original Baseline"),CONCATENATE(D36-B36," days change from the Original Baseline; ",D36-C36," days change from the rebaseline"))))))</f>
        <v>Please add original baseline and forecast date</v>
      </c>
      <c r="H36" s="220"/>
      <c r="I36" s="220"/>
      <c r="J36" s="220"/>
      <c r="K36" s="220"/>
      <c r="L36" s="220"/>
    </row>
    <row r="37" customFormat="false" ht="45.75" hidden="false" customHeight="true" outlineLevel="0" collapsed="false">
      <c r="A37" s="225" t="s">
        <v>275</v>
      </c>
      <c r="B37" s="218"/>
      <c r="C37" s="218"/>
      <c r="D37" s="218"/>
      <c r="E37" s="224"/>
      <c r="F37" s="219"/>
      <c r="G37" s="220" t="str">
        <f aca="false">IF(OR(B37="",D37=""),"Please add original baseline and forecast date",IF(B37=C37,"Please delete Rebaseline as same as Original Baseline",IF(D37=B37,"",IF(AND(D37&lt;&gt;B37,G211=""),CONCATENATE(D37-B37," / ",IF(C37&lt;&gt;"",D37-C37,"-")," days change from the Original Baseline / Rebaseline - please provide reason if considered significant change. If Rebaselined, please provide reason"),IF(C37="",CONCATENATE(D37-B37," days change from the Original Baseline"),CONCATENATE(D37-B37," days change from the Original Baseline; ",D37-C37," days change from the rebaseline"))))))</f>
        <v>Please add original baseline and forecast date</v>
      </c>
      <c r="H37" s="220"/>
      <c r="I37" s="220"/>
      <c r="J37" s="220"/>
      <c r="K37" s="220"/>
      <c r="L37" s="220"/>
    </row>
    <row r="38" customFormat="false" ht="45.75" hidden="false" customHeight="true" outlineLevel="0" collapsed="false">
      <c r="A38" s="225" t="s">
        <v>276</v>
      </c>
      <c r="B38" s="218"/>
      <c r="C38" s="218"/>
      <c r="D38" s="218"/>
      <c r="E38" s="224"/>
      <c r="F38" s="219"/>
      <c r="G38" s="220" t="str">
        <f aca="false">IF(OR(B38="",D38=""),"Please add original baseline and forecast date",IF(B38=C38,"Please delete Rebaseline as same as Original Baseline",IF(D38=B38,"",IF(AND(D38&lt;&gt;B38,G212=""),CONCATENATE(D38-B38," / ",IF(C38&lt;&gt;"",D38-C38,"-")," days change from the Original Baseline / Rebaseline - please provide reason if considered significant change. If Rebaselined, please provide reason"),IF(C38="",CONCATENATE(D38-B38," days change from the Original Baseline"),CONCATENATE(D38-B38," days change from the Original Baseline; ",D38-C38," days change from the rebaseline"))))))</f>
        <v>Please add original baseline and forecast date</v>
      </c>
      <c r="H38" s="220"/>
      <c r="I38" s="220"/>
      <c r="J38" s="220"/>
      <c r="K38" s="220"/>
      <c r="L38" s="220"/>
    </row>
    <row r="39" customFormat="false" ht="45.75" hidden="false" customHeight="true" outlineLevel="0" collapsed="false">
      <c r="A39" s="225" t="s">
        <v>277</v>
      </c>
      <c r="B39" s="218"/>
      <c r="C39" s="218"/>
      <c r="D39" s="218"/>
      <c r="E39" s="224"/>
      <c r="F39" s="219"/>
      <c r="G39" s="220" t="str">
        <f aca="false">IF(OR(B39="",D39=""),"Please add original baseline and forecast date",IF(B39=C39,"Please delete Rebaseline as same as Original Baseline",IF(D39=B39,"",IF(AND(D39&lt;&gt;B39,G213=""),CONCATENATE(D39-B39," / ",IF(C39&lt;&gt;"",D39-C39,"-")," days change from the Original Baseline / Rebaseline - please provide reason if considered significant change. If Rebaselined, please provide reason"),IF(C39="",CONCATENATE(D39-B39," days change from the Original Baseline"),CONCATENATE(D39-B39," days change from the Original Baseline; ",D39-C39," days change from the rebaseline"))))))</f>
        <v>Please add original baseline and forecast date</v>
      </c>
      <c r="H39" s="220"/>
      <c r="I39" s="220"/>
      <c r="J39" s="220"/>
      <c r="K39" s="220"/>
      <c r="L39" s="220"/>
    </row>
    <row r="40" customFormat="false" ht="45.75" hidden="false" customHeight="true" outlineLevel="0" collapsed="false">
      <c r="A40" s="225" t="s">
        <v>278</v>
      </c>
      <c r="B40" s="218"/>
      <c r="C40" s="218"/>
      <c r="D40" s="218"/>
      <c r="E40" s="224"/>
      <c r="F40" s="219"/>
      <c r="G40" s="220" t="str">
        <f aca="false">IF(OR(B40="",D40=""),"Please add original baseline and forecast date",IF(B40=C40,"Please delete Rebaseline as same as Original Baseline",IF(D40=B40,"",IF(AND(D40&lt;&gt;B40,G214=""),CONCATENATE(D40-B40," / ",IF(C40&lt;&gt;"",D40-C40,"-")," days change from the Original Baseline / Rebaseline - please provide reason if considered significant change. If Rebaselined, please provide reason"),IF(C40="",CONCATENATE(D40-B40," days change from the Original Baseline"),CONCATENATE(D40-B40," days change from the Original Baseline; ",D40-C40," days change from the rebaseline"))))))</f>
        <v>Please add original baseline and forecast date</v>
      </c>
      <c r="H40" s="220"/>
      <c r="I40" s="220"/>
      <c r="J40" s="220"/>
      <c r="K40" s="220"/>
      <c r="L40" s="220"/>
    </row>
    <row r="41" customFormat="false" ht="15" hidden="false" customHeight="false" outlineLevel="0" collapsed="false">
      <c r="A41" s="4"/>
      <c r="B41" s="4"/>
      <c r="C41" s="4"/>
      <c r="D41" s="4"/>
      <c r="E41" s="4"/>
      <c r="F41" s="4"/>
      <c r="G41" s="220"/>
      <c r="H41" s="220"/>
      <c r="I41" s="220"/>
      <c r="J41" s="220"/>
      <c r="K41" s="220"/>
      <c r="L41" s="220"/>
    </row>
    <row r="42" customFormat="false" ht="190.5" hidden="false" customHeight="true" outlineLevel="0" collapsed="false">
      <c r="A42" s="188" t="s">
        <v>279</v>
      </c>
      <c r="B42" s="219"/>
      <c r="C42" s="219"/>
      <c r="D42" s="219"/>
      <c r="E42" s="219"/>
      <c r="F42" s="219"/>
      <c r="G42" s="220"/>
      <c r="H42" s="220"/>
      <c r="I42" s="220"/>
      <c r="J42" s="220"/>
      <c r="K42" s="220"/>
      <c r="L42" s="220"/>
    </row>
  </sheetData>
  <mergeCells count="40">
    <mergeCell ref="A1:F1"/>
    <mergeCell ref="G1:H1"/>
    <mergeCell ref="A2:C2"/>
    <mergeCell ref="A3:C3"/>
    <mergeCell ref="E5:F5"/>
    <mergeCell ref="A6:F6"/>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35:L35"/>
    <mergeCell ref="G36:L36"/>
    <mergeCell ref="G37:L37"/>
    <mergeCell ref="G38:L38"/>
    <mergeCell ref="G39:L39"/>
    <mergeCell ref="G40:L40"/>
    <mergeCell ref="G41:L41"/>
    <mergeCell ref="B42:F42"/>
    <mergeCell ref="G42:L42"/>
  </mergeCells>
  <dataValidations count="1">
    <dataValidation allowBlank="true" operator="greaterThan" showDropDown="false" showErrorMessage="true" showInputMessage="true" sqref="B9:D24 B26:D40" type="date">
      <formula1>1</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true"/>
  </sheetPr>
  <dimension ref="A1:K37"/>
  <sheetViews>
    <sheetView showFormulas="false" showGridLines="true" showRowColHeaders="true" showZeros="true" rightToLeft="false" tabSelected="true" showOutlineSymbols="true" defaultGridColor="true" view="pageBreakPreview" topLeftCell="A16" colorId="64" zoomScale="100" zoomScaleNormal="66" zoomScalePageLayoutView="100" workbookViewId="0">
      <selection pane="topLeft" activeCell="C31" activeCellId="0" sqref="C31"/>
    </sheetView>
  </sheetViews>
  <sheetFormatPr defaultRowHeight="15" outlineLevelRow="0" outlineLevelCol="0"/>
  <cols>
    <col collapsed="false" customWidth="true" hidden="false" outlineLevel="0" max="1" min="1" style="19" width="29"/>
    <col collapsed="false" customWidth="true" hidden="false" outlineLevel="0" max="5" min="2" style="19" width="16.77"/>
    <col collapsed="false" customWidth="true" hidden="false" outlineLevel="0" max="6" min="6" style="19" width="35.22"/>
    <col collapsed="false" customWidth="true" hidden="false" outlineLevel="0" max="1025" min="7" style="19" width="8.89"/>
  </cols>
  <sheetData>
    <row r="1" customFormat="false" ht="77.25" hidden="false" customHeight="true" outlineLevel="0" collapsed="false">
      <c r="A1" s="226" t="s">
        <v>0</v>
      </c>
      <c r="B1" s="226"/>
      <c r="C1" s="226"/>
      <c r="D1" s="226"/>
      <c r="E1" s="226"/>
      <c r="F1" s="226"/>
      <c r="G1" s="226"/>
      <c r="H1" s="226"/>
      <c r="I1" s="226"/>
      <c r="J1" s="186" t="s">
        <v>64</v>
      </c>
      <c r="K1" s="186"/>
    </row>
    <row r="2" customFormat="false" ht="15.75" hidden="false" customHeight="true" outlineLevel="0" collapsed="false">
      <c r="A2" s="227" t="s">
        <v>280</v>
      </c>
      <c r="B2" s="227"/>
      <c r="C2" s="227"/>
    </row>
    <row r="3" customFormat="false" ht="15" hidden="false" customHeight="false" outlineLevel="0" collapsed="false">
      <c r="A3" s="228" t="s">
        <v>281</v>
      </c>
      <c r="B3" s="229"/>
      <c r="C3" s="229"/>
    </row>
    <row r="4" customFormat="false" ht="33" hidden="false" customHeight="true" outlineLevel="0" collapsed="false">
      <c r="A4" s="188" t="s">
        <v>282</v>
      </c>
      <c r="B4" s="8" t="s">
        <v>283</v>
      </c>
      <c r="C4" s="230"/>
      <c r="D4" s="188" t="s">
        <v>284</v>
      </c>
      <c r="E4" s="206"/>
    </row>
    <row r="5" customFormat="false" ht="33" hidden="false" customHeight="true" outlineLevel="0" collapsed="false">
      <c r="B5" s="8" t="s">
        <v>285</v>
      </c>
      <c r="C5" s="230"/>
    </row>
    <row r="7" customFormat="false" ht="87" hidden="false" customHeight="true" outlineLevel="0" collapsed="false">
      <c r="A7" s="188" t="s">
        <v>286</v>
      </c>
      <c r="B7" s="211" t="s">
        <v>287</v>
      </c>
      <c r="C7" s="211" t="s">
        <v>235</v>
      </c>
      <c r="D7" s="211" t="s">
        <v>236</v>
      </c>
      <c r="E7" s="211" t="s">
        <v>288</v>
      </c>
      <c r="F7" s="187" t="s">
        <v>238</v>
      </c>
    </row>
    <row r="8" customFormat="false" ht="40.5" hidden="false" customHeight="true" outlineLevel="0" collapsed="false">
      <c r="A8" s="231" t="s">
        <v>289</v>
      </c>
      <c r="B8" s="232"/>
      <c r="C8" s="232"/>
      <c r="D8" s="232"/>
      <c r="E8" s="233"/>
      <c r="F8" s="206"/>
      <c r="G8" s="234" t="str">
        <f aca="false">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34"/>
      <c r="I8" s="234"/>
      <c r="J8" s="234"/>
    </row>
    <row r="9" customFormat="false" ht="40.5" hidden="false" customHeight="true" outlineLevel="0" collapsed="false">
      <c r="A9" s="231" t="s">
        <v>290</v>
      </c>
      <c r="B9" s="232"/>
      <c r="C9" s="232"/>
      <c r="D9" s="232"/>
      <c r="E9" s="233"/>
      <c r="F9" s="206"/>
      <c r="G9" s="234" t="str">
        <f aca="false">IF(OR(B10="",D10=""),"Please add Original Baseline and/or Forecast date if either is missing",IF(B10=C10,"Please delete Rebaseline as same as Original Baseline",IF(D10=B10,"",IF(AND(D10&lt;&gt;B10,G142=""),CONCATENATE(D10-B10,"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and/or Forecast date if either is missing</v>
      </c>
      <c r="H9" s="234"/>
      <c r="I9" s="234"/>
      <c r="J9" s="234"/>
    </row>
    <row r="10" customFormat="false" ht="40.5" hidden="false" customHeight="true" outlineLevel="0" collapsed="false">
      <c r="A10" s="231" t="s">
        <v>291</v>
      </c>
      <c r="B10" s="232"/>
      <c r="C10" s="232"/>
      <c r="D10" s="232"/>
      <c r="E10" s="233"/>
      <c r="F10" s="206"/>
      <c r="G10" s="234" t="str">
        <f aca="false">IF(OR(B11="",D11=""),"Please add Original Baseline and/or Forecast date if either is missing",IF(B11=C11,"Please delete Rebaseline as same as Original Baseline",IF(D11=B11,"",IF(AND(D11&lt;&gt;B11,G143=""),CONCATENATE(D11-B11," / ",IF(C11&lt;&gt;"",D11-C11,"-")," days change from the Original Baseline / Rebaseline - please provide reason if considered significant change. If Rebaselined, please provide reason"),IF(C11="",CONCATENATE(D11-B11," days change from the Original Baseline"),CONCATENATE(D11-B11," days change from the Original Baseline; ",D11-C11," days change from the rebaseline"))))))</f>
        <v>Please add Original Baseline and/or Forecast date if either is missing</v>
      </c>
      <c r="H10" s="234"/>
      <c r="I10" s="234"/>
      <c r="J10" s="234"/>
    </row>
    <row r="11" customFormat="false" ht="40.5" hidden="false" customHeight="true" outlineLevel="0" collapsed="false">
      <c r="A11" s="231" t="s">
        <v>292</v>
      </c>
      <c r="B11" s="232"/>
      <c r="C11" s="232"/>
      <c r="D11" s="232"/>
      <c r="E11" s="233"/>
      <c r="F11" s="206"/>
      <c r="G11" s="234" t="str">
        <f aca="false">IF(OR(B12="",D12=""),"Please add Original Baseline and/or Forecast date if either is missing",IF(B12=C12,"Please delete Rebaseline as same as Original Baseline",IF(D12=B12,"",IF(AND(D12&lt;&gt;B12,G144=""),CONCATENATE(D12-B12," / ",IF(C12&lt;&gt;"",D12-C12,"-")," days change from the Original Baseline / Rebaseline - please provide reason if considered significant change. If Rebaselined, please provide reason"),IF(C12="",CONCATENATE(D12-B12," days change from the Original Baseline"),CONCATENATE(D12-B12," days change from the Original Baseline; ",D12-C12," days change from the rebaseline"))))))</f>
        <v>Please add Original Baseline and/or Forecast date if either is missing</v>
      </c>
      <c r="H11" s="234"/>
      <c r="I11" s="234"/>
      <c r="J11" s="234"/>
    </row>
    <row r="12" customFormat="false" ht="40.5" hidden="false" customHeight="true" outlineLevel="0" collapsed="false">
      <c r="A12" s="231" t="s">
        <v>293</v>
      </c>
      <c r="B12" s="232"/>
      <c r="C12" s="232"/>
      <c r="D12" s="232"/>
      <c r="E12" s="233"/>
      <c r="F12" s="206"/>
      <c r="G12" s="234" t="str">
        <f aca="false">IF(OR(B13="",D13=""),"Please add Original Baseline and/or Forecast date if either is missing",IF(B13=C13,"Please delete Rebaseline as same as Original Baseline",IF(D13=B13,"",IF(AND(D13&lt;&gt;B13,G145=""),CONCATENATE(D13-B13," / ",IF(C13&lt;&gt;"",D13-C13,"-")," days change from the Original Baseline / Rebaseline - please provide reason if considered significant change. If Rebaselined, please provide reason"),IF(C13="",CONCATENATE(D13-B13," days change from the Original Baseline"),CONCATENATE(D13-B13," days change from the Original Baseline; ",D13-C13," days change from the rebaseline"))))))</f>
        <v>Please add Original Baseline and/or Forecast date if either is missing</v>
      </c>
      <c r="H12" s="234"/>
      <c r="I12" s="234"/>
      <c r="J12" s="234"/>
    </row>
    <row r="13" customFormat="false" ht="40.5" hidden="false" customHeight="true" outlineLevel="0" collapsed="false">
      <c r="A13" s="231" t="s">
        <v>294</v>
      </c>
      <c r="B13" s="232"/>
      <c r="C13" s="232"/>
      <c r="D13" s="232"/>
      <c r="E13" s="233"/>
      <c r="F13" s="206"/>
      <c r="G13" s="234" t="str">
        <f aca="false">IF(OR(B14="",D14=""),"Please add Original Baseline and/or Forecast date if either is missing",IF(B14=C14,"Please delete Rebaseline as same as Original Baseline",IF(D14=B14,"",IF(AND(D14&lt;&gt;B14,G146=""),CONCATENATE(D14-B14," / ",IF(C14&lt;&gt;"",D14-C14,"-")," days change from the Original Baseline / Rebaseline - please provide reason if considered significant change. If Rebaselined, please provide reason"),IF(C14="",CONCATENATE(D14-B14," days change from the Original Baseline"),CONCATENATE(D14-B14," days change from the Original Baseline; ",D14-C14," days change from the rebaseline"))))))</f>
        <v>Please add Original Baseline and/or Forecast date if either is missing</v>
      </c>
      <c r="H13" s="234"/>
      <c r="I13" s="234"/>
      <c r="J13" s="234"/>
    </row>
    <row r="14" customFormat="false" ht="40.5" hidden="false" customHeight="true" outlineLevel="0" collapsed="false">
      <c r="A14" s="231" t="s">
        <v>295</v>
      </c>
      <c r="B14" s="232"/>
      <c r="C14" s="232"/>
      <c r="D14" s="232"/>
      <c r="E14" s="233"/>
      <c r="F14" s="206"/>
      <c r="G14" s="234" t="str">
        <f aca="false">IF(OR(B15="",D15=""),"Please add Original Baseline and/or Forecast date if either is missing",IF(B15=C15,"Please delete Rebaseline as same as Original Baseline",IF(D15=B15,"",IF(AND(D15&lt;&gt;B15,G147=""),CONCATENATE(D15-B15," / ",IF(C15&lt;&gt;"",D15-C15,"-")," days change from the Original Baseline / Rebaseline - please provide reason if considered significant change. If Rebaselined, please provide reason"),IF(C15="",CONCATENATE(D15-B15," days change from the Original Baseline"),CONCATENATE(D15-B15," days change from the Original Baseline; ",D15-C15," days change from the rebaseline"))))))</f>
        <v>Please add Original Baseline and/or Forecast date if either is missing</v>
      </c>
      <c r="H14" s="234"/>
      <c r="I14" s="234"/>
      <c r="J14" s="234"/>
    </row>
    <row r="15" customFormat="false" ht="40.5" hidden="false" customHeight="true" outlineLevel="0" collapsed="false">
      <c r="A15" s="231" t="s">
        <v>296</v>
      </c>
      <c r="B15" s="232"/>
      <c r="C15" s="232"/>
      <c r="D15" s="232"/>
      <c r="E15" s="233"/>
      <c r="F15" s="206"/>
      <c r="G15" s="234" t="str">
        <f aca="false">IF(OR(B16="",D16=""),"Please add Original Baseline and/or Forecast date if either is missing",IF(B16=C16,"Please delete Rebaseline as same as Original Baseline",IF(D16=B16,"",IF(AND(D16&lt;&gt;B16,G148=""),CONCATENATE(D16-B16," / ",IF(C16&lt;&gt;"",D16-C16,"-")," days change from the Original Baseline / Rebaseline - please provide reason if considered significant change. If Rebaselined, please provide reason"),IF(C16="",CONCATENATE(D16-B16," days change from the Original Baseline"),CONCATENATE(D16-B16," days change from the Original Baseline; ",D16-C16," days change from the rebaseline"))))))</f>
        <v>Please add Original Baseline and/or Forecast date if either is missing</v>
      </c>
      <c r="H15" s="234"/>
      <c r="I15" s="234"/>
      <c r="J15" s="234"/>
    </row>
    <row r="16" customFormat="false" ht="40.5" hidden="false" customHeight="true" outlineLevel="0" collapsed="false">
      <c r="A16" s="225" t="s">
        <v>297</v>
      </c>
      <c r="B16" s="232"/>
      <c r="C16" s="232"/>
      <c r="D16" s="232"/>
      <c r="E16" s="233"/>
      <c r="F16" s="206"/>
      <c r="G16" s="234" t="str">
        <f aca="false">IF(OR(B17="",D17=""),"Please add Original Baseline and/or Forecast date if either is missing",IF(B17=C17,"Please delete Rebaseline as same as Original Baseline",IF(D17=B17,"",IF(AND(D17&lt;&gt;B17,G149=""),CONCATENATE(D17-B17," / ",IF(C17&lt;&gt;"",D17-C17,"-")," days change from the Original Baseline / Rebaseline - please provide reason if considered significant change. If Rebaselined, please provide reason"),IF(C17="",CONCATENATE(D17-B17," days change from the Original Baseline"),CONCATENATE(D17-B17," days change from the Original Baseline; ",D17-C17," days change from the rebaseline"))))))</f>
        <v>Please add Original Baseline and/or Forecast date if either is missing</v>
      </c>
      <c r="H16" s="234"/>
      <c r="I16" s="234"/>
      <c r="J16" s="234"/>
    </row>
    <row r="17" customFormat="false" ht="40.5" hidden="false" customHeight="true" outlineLevel="0" collapsed="false">
      <c r="A17" s="225" t="s">
        <v>298</v>
      </c>
      <c r="B17" s="232"/>
      <c r="C17" s="232"/>
      <c r="D17" s="232"/>
      <c r="E17" s="233"/>
      <c r="F17" s="206"/>
      <c r="G17" s="234" t="str">
        <f aca="false">IF(OR(B18="",D18=""),"Please add Original Baseline and/or Forecast date if either is missing",IF(B18=C18,"Please delete Rebaseline as same as Original Baseline",IF(D18=B18,"",IF(AND(D18&lt;&gt;B18,G150=""),CONCATENATE(D18-B18," / ",IF(C18&lt;&gt;"",D18-C18,"-")," days change from the Original Baseline / Rebaseline - please provide reason if considered significant change. If Rebaselined, please provide reason"),IF(C18="",CONCATENATE(D18-B18," days change from the Original Baseline"),CONCATENATE(D18-B18," days change from the Original Baseline; ",D18-C18," days change from the rebaseline"))))))</f>
        <v>Please add Original Baseline and/or Forecast date if either is missing</v>
      </c>
      <c r="H17" s="234"/>
      <c r="I17" s="234"/>
      <c r="J17" s="234"/>
    </row>
    <row r="18" customFormat="false" ht="40.5" hidden="false" customHeight="true" outlineLevel="0" collapsed="false">
      <c r="A18" s="225" t="s">
        <v>299</v>
      </c>
      <c r="B18" s="232"/>
      <c r="C18" s="232"/>
      <c r="D18" s="232"/>
      <c r="E18" s="233"/>
      <c r="F18" s="206"/>
      <c r="G18" s="234" t="str">
        <f aca="false">IF(OR(B19="",D19=""),"Please add Original Baseline and/or Forecast date if either is missing",IF(B19=C19,"Please delete Rebaseline as same as Original Baseline",IF(D19=B19,"",IF(AND(D19&lt;&gt;B19,G151=""),CONCATENATE(D19-B19," / ",IF(C19&lt;&gt;"",D19-C19,"-")," days change from the Original Baseline / Rebaseline - please provide reason if considered significant change. If Rebaselined, please provide reason"),IF(C19="",CONCATENATE(D19-B19," days change from the Original Baseline"),CONCATENATE(D19-B19," days change from the Original Baseline; ",D19-C19," days change from the rebaseline"))))))</f>
        <v>Please add Original Baseline and/or Forecast date if either is missing</v>
      </c>
      <c r="H18" s="234"/>
      <c r="I18" s="234"/>
      <c r="J18" s="234"/>
    </row>
    <row r="19" customFormat="false" ht="40.5" hidden="false" customHeight="true" outlineLevel="0" collapsed="false">
      <c r="A19" s="225" t="s">
        <v>300</v>
      </c>
      <c r="B19" s="232"/>
      <c r="C19" s="232"/>
      <c r="D19" s="232"/>
      <c r="E19" s="233"/>
      <c r="F19" s="206"/>
      <c r="G19" s="234" t="str">
        <f aca="false">IF(OR(B20="",D20=""),"Please add Original Baseline and/or Forecast date if either is missing",IF(B20=C20,"Please delete Rebaseline as same as Original Baseline",IF(D20=B20,"",IF(AND(D20&lt;&gt;B20,G152=""),CONCATENATE(D20-B20," / ",IF(C20&lt;&gt;"",D20-C20,"-")," days change from the Original Baseline / Rebaseline - please provide reason if considered significant change. If Rebaselined, please provide reason"),IF(C20="",CONCATENATE(D20-B20," days change from the Original Baseline"),CONCATENATE(D20-B20," days change from the Original Baseline; ",D20-C20," days change from the rebaseline"))))))</f>
        <v>Please add Original Baseline and/or Forecast date if either is missing</v>
      </c>
      <c r="H19" s="234"/>
      <c r="I19" s="234"/>
      <c r="J19" s="234"/>
    </row>
    <row r="20" customFormat="false" ht="40.5" hidden="false" customHeight="true" outlineLevel="0" collapsed="false">
      <c r="A20" s="225" t="s">
        <v>301</v>
      </c>
      <c r="B20" s="232"/>
      <c r="C20" s="232"/>
      <c r="D20" s="232"/>
      <c r="E20" s="233"/>
      <c r="F20" s="206"/>
      <c r="G20" s="234" t="str">
        <f aca="false">IF(OR(B21="",D21=""),"Please add Original Baseline and/or Forecast date if either is missing",IF(B21=C21,"Please delete Rebaseline as same as Original Baseline",IF(D21=B21,"",IF(AND(D21&lt;&gt;B21,G153=""),CONCATENATE(D21-B21," / ",IF(C21&lt;&gt;"",D21-C21,"-")," days change from the Original Baseline / Rebaseline - please provide reason if considered significant change. If Rebaselined, please provide reason"),IF(C21="",CONCATENATE(D21-B21," days change from the Original Baseline"),CONCATENATE(D21-B21," days change from the Original Baseline; ",D21-C21," days change from the rebaseline"))))))</f>
        <v>Please add Original Baseline and/or Forecast date if either is missing</v>
      </c>
      <c r="H20" s="234"/>
      <c r="I20" s="234"/>
      <c r="J20" s="234"/>
    </row>
    <row r="21" customFormat="false" ht="40.5" hidden="false" customHeight="true" outlineLevel="0" collapsed="false">
      <c r="A21" s="225" t="s">
        <v>302</v>
      </c>
      <c r="B21" s="232"/>
      <c r="C21" s="232"/>
      <c r="D21" s="232"/>
      <c r="E21" s="233"/>
      <c r="F21" s="206"/>
      <c r="G21" s="234" t="str">
        <f aca="false">IF(OR(B22="",D22=""),"Please add Original Baseline and/or Forecast date if either is missing",IF(B22=C22,"Please delete Rebaseline as same as Original Baseline",IF(D22=B22,"",IF(AND(D22&lt;&gt;B22,G154=""),CONCATENATE(D22-B22," / ",IF(C22&lt;&gt;"",D22-C22,"-")," days change from the Original Baseline / Rebaseline - please provide reason if considered significant change. If Rebaselined, please provide reason"),IF(C22="",CONCATENATE(D22-B22," days change from the Original Baseline"),CONCATENATE(D22-B22," days change from the Original Baseline; ",D22-C22," days change from the rebaseline"))))))</f>
        <v>Please add Original Baseline and/or Forecast date if either is missing</v>
      </c>
      <c r="H21" s="234"/>
      <c r="I21" s="234"/>
      <c r="J21" s="234"/>
    </row>
    <row r="22" customFormat="false" ht="40.5" hidden="false" customHeight="true" outlineLevel="0" collapsed="false">
      <c r="A22" s="225" t="s">
        <v>303</v>
      </c>
      <c r="B22" s="232"/>
      <c r="C22" s="232"/>
      <c r="D22" s="232"/>
      <c r="E22" s="233"/>
      <c r="F22" s="206"/>
      <c r="G22" s="234" t="str">
        <f aca="false">IF(OR(B23="",D23=""),"Please add Original Baseline and/or Forecast date if either is missing",IF(B23=C23,"Please delete Rebaseline as same as Original Baseline",IF(D23=B23,"",IF(AND(D23&lt;&gt;B23,G155=""),CONCATENATE(D23-B23," / ",IF(C23&lt;&gt;"",D23-C23,"-")," days change from the Original Baseline / Rebaseline - please provide reason if considered significant change. If Rebaselined, please provide reason"),IF(C23="",CONCATENATE(D23-B23," days change from the Original Baseline"),CONCATENATE(D23-B23," days change from the Original Baseline; ",D23-C23," days change from the rebaseline"))))))</f>
        <v>Please add Original Baseline and/or Forecast date if either is missing</v>
      </c>
      <c r="H22" s="234"/>
      <c r="I22" s="234"/>
      <c r="J22" s="234"/>
    </row>
    <row r="23" customFormat="false" ht="40.5" hidden="false" customHeight="true" outlineLevel="0" collapsed="false">
      <c r="A23" s="225" t="s">
        <v>304</v>
      </c>
      <c r="B23" s="232"/>
      <c r="C23" s="232"/>
      <c r="D23" s="232"/>
      <c r="E23" s="233"/>
      <c r="F23" s="206"/>
      <c r="G23" s="234" t="str">
        <f aca="false">IF(OR(B24="",D24=""),"Please add Original Baseline and/or Forecast date if either is missing",IF(B24=C24,"Please delete Rebaseline as same as Original Baseline",IF(D24=B24,"",IF(AND(D24&lt;&gt;B24,G156=""),CONCATENATE(D24-B24," / ",IF(C24&lt;&gt;"",D24-C24,"-")," days change from the Original Baseline / Rebaseline - please provide reason if considered significant change. If Rebaselined, please provide reason"),IF(C24="",CONCATENATE(D24-B24," days change from the Original Baseline"),CONCATENATE(D24-B24," days change from the Original Baseline; ",D24-C24," days change from the rebaseline"))))))</f>
        <v>Please add Original Baseline and/or Forecast date if either is missing</v>
      </c>
      <c r="H23" s="234"/>
      <c r="I23" s="234"/>
      <c r="J23" s="234"/>
    </row>
    <row r="24" customFormat="false" ht="40.5" hidden="false" customHeight="true" outlineLevel="0" collapsed="false">
      <c r="A24" s="225" t="s">
        <v>305</v>
      </c>
      <c r="B24" s="232"/>
      <c r="C24" s="232"/>
      <c r="D24" s="232"/>
      <c r="E24" s="233"/>
      <c r="F24" s="206"/>
      <c r="G24" s="234" t="str">
        <f aca="false">IF(OR(B25="",D25=""),"Please add Original Baseline and/or Forecast date if either is missing",IF(B25=C25,"Please delete Rebaseline as same as Original Baseline",IF(D25=B25,"",IF(AND(D25&lt;&gt;B25,G157=""),CONCATENATE(D25-B25," / ",IF(C25&lt;&gt;"",D25-C25,"-")," days change from the Original Baseline / Rebaseline - please provide reason if considered significant change. If Rebaselined, please provide reason"),IF(C25="",CONCATENATE(D25-B25," days change from the Original Baseline"),CONCATENATE(D25-B25," days change from the Original Baseline; ",D25-C25," days change from the rebaseline"))))))</f>
        <v>Please add Original Baseline and/or Forecast date if either is missing</v>
      </c>
      <c r="H24" s="234"/>
      <c r="I24" s="234"/>
      <c r="J24" s="234"/>
    </row>
    <row r="25" customFormat="false" ht="40.5" hidden="false" customHeight="true" outlineLevel="0" collapsed="false">
      <c r="A25" s="225" t="s">
        <v>306</v>
      </c>
      <c r="B25" s="232"/>
      <c r="C25" s="232"/>
      <c r="D25" s="232"/>
      <c r="E25" s="233"/>
      <c r="F25" s="206"/>
      <c r="G25" s="234" t="str">
        <f aca="false">IF(OR(B26="",D26=""),"Please add Original Baseline and/or Forecast date if either is missing",IF(B26=C26,"Please delete Rebaseline as same as Original Baseline",IF(D26=B26,"",IF(AND(D26&lt;&gt;B26,G158=""),CONCATENATE(D26-B26,"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and/or Forecast date if either is missing</v>
      </c>
      <c r="H25" s="234"/>
      <c r="I25" s="234"/>
      <c r="J25" s="234"/>
    </row>
    <row r="27" customFormat="false" ht="36" hidden="false" customHeight="true" outlineLevel="0" collapsed="false">
      <c r="A27" s="235" t="s">
        <v>307</v>
      </c>
      <c r="B27" s="235"/>
      <c r="C27" s="235"/>
    </row>
    <row r="28" customFormat="false" ht="47.25" hidden="false" customHeight="true" outlineLevel="0" collapsed="false">
      <c r="A28" s="236" t="s">
        <v>308</v>
      </c>
      <c r="B28" s="236"/>
      <c r="C28" s="236"/>
      <c r="D28" s="236"/>
      <c r="E28" s="236"/>
      <c r="F28" s="236"/>
    </row>
    <row r="30" customFormat="false" ht="24.75" hidden="false" customHeight="true" outlineLevel="0" collapsed="false">
      <c r="B30" s="237" t="s">
        <v>309</v>
      </c>
      <c r="C30" s="237"/>
      <c r="D30" s="206"/>
      <c r="E30" s="206"/>
      <c r="F30" s="206"/>
    </row>
    <row r="31" customFormat="false" ht="38.25" hidden="false" customHeight="true" outlineLevel="0" collapsed="false">
      <c r="A31" s="188" t="s">
        <v>310</v>
      </c>
      <c r="B31" s="188" t="s">
        <v>311</v>
      </c>
      <c r="C31" s="233"/>
      <c r="D31" s="206"/>
      <c r="E31" s="206"/>
      <c r="F31" s="206"/>
    </row>
    <row r="32" customFormat="false" ht="38.25" hidden="false" customHeight="true" outlineLevel="0" collapsed="false">
      <c r="A32" s="188"/>
      <c r="B32" s="188" t="s">
        <v>312</v>
      </c>
      <c r="C32" s="233"/>
      <c r="D32" s="206"/>
      <c r="E32" s="206"/>
      <c r="F32" s="206"/>
    </row>
    <row r="33" customFormat="false" ht="15" hidden="false" customHeight="false" outlineLevel="0" collapsed="false">
      <c r="D33" s="238"/>
      <c r="E33" s="239"/>
      <c r="F33" s="240"/>
    </row>
    <row r="34" customFormat="false" ht="29.25" hidden="false" customHeight="true" outlineLevel="0" collapsed="false">
      <c r="A34" s="236" t="s">
        <v>313</v>
      </c>
      <c r="B34" s="236"/>
      <c r="C34" s="236"/>
      <c r="D34" s="236"/>
      <c r="E34" s="236"/>
      <c r="F34" s="236"/>
    </row>
    <row r="35" customFormat="false" ht="24.75" hidden="false" customHeight="true" outlineLevel="0" collapsed="false">
      <c r="B35" s="188" t="s">
        <v>309</v>
      </c>
      <c r="C35" s="188"/>
      <c r="D35" s="241"/>
      <c r="E35" s="241"/>
      <c r="F35" s="241"/>
    </row>
    <row r="36" customFormat="false" ht="38.25" hidden="false" customHeight="true" outlineLevel="0" collapsed="false">
      <c r="A36" s="188" t="s">
        <v>310</v>
      </c>
      <c r="B36" s="188" t="s">
        <v>311</v>
      </c>
      <c r="C36" s="233"/>
      <c r="D36" s="241"/>
      <c r="E36" s="241"/>
      <c r="F36" s="241"/>
    </row>
    <row r="37" customFormat="false" ht="38.25" hidden="false" customHeight="true" outlineLevel="0" collapsed="false">
      <c r="A37" s="188"/>
      <c r="B37" s="188" t="s">
        <v>312</v>
      </c>
      <c r="C37" s="233"/>
      <c r="D37" s="241"/>
      <c r="E37" s="241"/>
      <c r="F37" s="241"/>
    </row>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G25:J25"/>
    <mergeCell ref="A27:C27"/>
    <mergeCell ref="A28:F28"/>
    <mergeCell ref="B30:C30"/>
    <mergeCell ref="D30:F32"/>
    <mergeCell ref="A31:A32"/>
    <mergeCell ref="A34:F34"/>
    <mergeCell ref="B35:C35"/>
    <mergeCell ref="D35:F37"/>
    <mergeCell ref="A36:A37"/>
  </mergeCells>
  <conditionalFormatting sqref="C1:C37">
    <cfRule type="cellIs" priority="2" operator="equal" aboveAverage="0" equalAverage="0" bottom="0" percent="0" rank="0" text="" dxfId="0">
      <formula>"Red"</formula>
    </cfRule>
  </conditionalFormatting>
  <dataValidations count="1">
    <dataValidation allowBlank="true" operator="equal" showDropDown="false" showErrorMessage="true" showInputMessage="true" sqref="C5 B8:D25" type="date">
      <formula1>1</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AR90"/>
  <sheetViews>
    <sheetView showFormulas="false" showGridLines="true" showRowColHeaders="true" showZeros="true" rightToLeft="false" tabSelected="false" showOutlineSymbols="true" defaultGridColor="true" view="pageBreakPreview" topLeftCell="L1" colorId="64" zoomScale="100" zoomScaleNormal="87" zoomScalePageLayoutView="100" workbookViewId="0">
      <selection pane="topLeft" activeCell="AJ8" activeCellId="0" sqref="AJ8"/>
    </sheetView>
  </sheetViews>
  <sheetFormatPr defaultRowHeight="15" outlineLevelRow="0" outlineLevelCol="0"/>
  <cols>
    <col collapsed="false" customWidth="true" hidden="false" outlineLevel="0" max="1" min="1" style="242" width="9.89"/>
    <col collapsed="false" customWidth="true" hidden="false" outlineLevel="0" max="2" min="2" style="242" width="10.66"/>
    <col collapsed="false" customWidth="true" hidden="false" outlineLevel="0" max="3" min="3" style="242" width="9.11"/>
    <col collapsed="false" customWidth="true" hidden="false" outlineLevel="0" max="5" min="4" style="242" width="9.89"/>
    <col collapsed="false" customWidth="true" hidden="false" outlineLevel="0" max="6" min="6" style="242" width="14.44"/>
    <col collapsed="false" customWidth="true" hidden="false" outlineLevel="0" max="7" min="7" style="242" width="9.89"/>
    <col collapsed="false" customWidth="true" hidden="false" outlineLevel="0" max="8" min="8" style="242" width="13.33"/>
    <col collapsed="false" customWidth="true" hidden="false" outlineLevel="0" max="10" min="9" style="242" width="14.11"/>
    <col collapsed="false" customWidth="true" hidden="false" outlineLevel="0" max="11" min="11" style="242" width="13.11"/>
    <col collapsed="false" customWidth="true" hidden="false" outlineLevel="0" max="12" min="12" style="242" width="10.44"/>
    <col collapsed="false" customWidth="true" hidden="false" outlineLevel="0" max="14" min="13" style="242" width="14.11"/>
    <col collapsed="false" customWidth="true" hidden="false" outlineLevel="0" max="15" min="15" style="242" width="10.44"/>
    <col collapsed="false" customWidth="true" hidden="false" outlineLevel="0" max="17" min="16" style="242" width="18.33"/>
    <col collapsed="false" customWidth="true" hidden="false" outlineLevel="0" max="19" min="18" style="242" width="6.88"/>
    <col collapsed="false" customWidth="true" hidden="false" outlineLevel="0" max="20" min="20" style="242" width="10.55"/>
    <col collapsed="false" customWidth="true" hidden="false" outlineLevel="0" max="21" min="21" style="242" width="9.55"/>
    <col collapsed="false" customWidth="true" hidden="false" outlineLevel="0" max="22" min="22" style="242" width="7.11"/>
    <col collapsed="false" customWidth="true" hidden="false" outlineLevel="0" max="23" min="23" style="242" width="9.66"/>
    <col collapsed="false" customWidth="true" hidden="false" outlineLevel="0" max="24" min="24" style="242" width="11.55"/>
    <col collapsed="false" customWidth="true" hidden="false" outlineLevel="0" max="25" min="25" style="243" width="9.33"/>
    <col collapsed="false" customWidth="true" hidden="false" outlineLevel="0" max="26" min="26" style="243" width="6.88"/>
    <col collapsed="false" customWidth="true" hidden="false" outlineLevel="0" max="27" min="27" style="242" width="12.77"/>
    <col collapsed="false" customWidth="true" hidden="false" outlineLevel="0" max="28" min="28" style="242" width="20.88"/>
    <col collapsed="false" customWidth="true" hidden="false" outlineLevel="0" max="29" min="29" style="242" width="6.88"/>
    <col collapsed="false" customWidth="true" hidden="false" outlineLevel="0" max="30" min="30" style="242" width="9.78"/>
    <col collapsed="false" customWidth="true" hidden="false" outlineLevel="0" max="31" min="31" style="242" width="18.11"/>
    <col collapsed="false" customWidth="true" hidden="false" outlineLevel="0" max="32" min="32" style="242" width="6.88"/>
    <col collapsed="false" customWidth="true" hidden="false" outlineLevel="0" max="33" min="33" style="244" width="6.88"/>
    <col collapsed="false" customWidth="true" hidden="false" outlineLevel="0" max="34" min="34" style="244" width="9.89"/>
    <col collapsed="false" customWidth="true" hidden="false" outlineLevel="0" max="35" min="35" style="0" width="6.88"/>
    <col collapsed="false" customWidth="true" hidden="false" outlineLevel="0" max="36" min="36" style="244" width="9.89"/>
    <col collapsed="false" customWidth="true" hidden="false" outlineLevel="0" max="42" min="37" style="244" width="6.88"/>
    <col collapsed="false" customWidth="true" hidden="false" outlineLevel="0" max="43" min="43" style="244" width="14.11"/>
    <col collapsed="false" customWidth="true" hidden="false" outlineLevel="0" max="1025" min="44" style="242" width="6.88"/>
  </cols>
  <sheetData>
    <row r="1" s="245" customFormat="true" ht="76.5" hidden="false" customHeight="false" outlineLevel="0" collapsed="false">
      <c r="A1" s="245" t="s">
        <v>314</v>
      </c>
      <c r="B1" s="245" t="s">
        <v>315</v>
      </c>
      <c r="C1" s="245" t="s">
        <v>316</v>
      </c>
      <c r="D1" s="245" t="s">
        <v>317</v>
      </c>
      <c r="E1" s="245" t="s">
        <v>318</v>
      </c>
      <c r="F1" s="245" t="s">
        <v>319</v>
      </c>
      <c r="G1" s="245" t="s">
        <v>320</v>
      </c>
      <c r="H1" s="245" t="s">
        <v>321</v>
      </c>
      <c r="I1" s="245" t="s">
        <v>322</v>
      </c>
      <c r="J1" s="245" t="s">
        <v>323</v>
      </c>
      <c r="K1" s="245" t="s">
        <v>324</v>
      </c>
      <c r="L1" s="245" t="s">
        <v>325</v>
      </c>
      <c r="M1" s="245" t="s">
        <v>326</v>
      </c>
      <c r="N1" s="245" t="s">
        <v>327</v>
      </c>
      <c r="O1" s="245" t="s">
        <v>328</v>
      </c>
      <c r="P1" s="245" t="s">
        <v>329</v>
      </c>
      <c r="Q1" s="245" t="s">
        <v>330</v>
      </c>
      <c r="R1" s="245" t="s">
        <v>331</v>
      </c>
      <c r="S1" s="245" t="s">
        <v>332</v>
      </c>
      <c r="T1" s="245" t="s">
        <v>333</v>
      </c>
      <c r="U1" s="245" t="s">
        <v>334</v>
      </c>
      <c r="V1" s="245" t="s">
        <v>109</v>
      </c>
      <c r="W1" s="245" t="s">
        <v>335</v>
      </c>
      <c r="X1" s="245" t="s">
        <v>336</v>
      </c>
      <c r="Y1" s="245" t="s">
        <v>337</v>
      </c>
      <c r="Z1" s="245" t="s">
        <v>338</v>
      </c>
      <c r="AA1" s="245" t="s">
        <v>339</v>
      </c>
      <c r="AB1" s="245" t="s">
        <v>340</v>
      </c>
      <c r="AC1" s="245" t="s">
        <v>341</v>
      </c>
      <c r="AD1" s="245" t="s">
        <v>342</v>
      </c>
      <c r="AE1" s="245" t="s">
        <v>343</v>
      </c>
      <c r="AF1" s="245" t="s">
        <v>344</v>
      </c>
      <c r="AG1" s="246" t="s">
        <v>345</v>
      </c>
      <c r="AH1" s="247" t="s">
        <v>12</v>
      </c>
      <c r="AI1" s="246" t="s">
        <v>15</v>
      </c>
      <c r="AJ1" s="246" t="s">
        <v>346</v>
      </c>
      <c r="AK1" s="247" t="s">
        <v>347</v>
      </c>
      <c r="AL1" s="246" t="s">
        <v>348</v>
      </c>
      <c r="AM1" s="246" t="s">
        <v>349</v>
      </c>
      <c r="AN1" s="246" t="s">
        <v>350</v>
      </c>
      <c r="AO1" s="246" t="s">
        <v>351</v>
      </c>
      <c r="AP1" s="246" t="s">
        <v>352</v>
      </c>
      <c r="AQ1" s="246" t="s">
        <v>353</v>
      </c>
      <c r="AR1" s="248" t="s">
        <v>354</v>
      </c>
    </row>
    <row r="2" customFormat="false" ht="57" hidden="false" customHeight="false" outlineLevel="0" collapsed="false">
      <c r="A2" s="242" t="s">
        <v>355</v>
      </c>
      <c r="B2" s="242" t="s">
        <v>356</v>
      </c>
      <c r="C2" s="242" t="s">
        <v>357</v>
      </c>
      <c r="D2" s="242" t="s">
        <v>50</v>
      </c>
      <c r="E2" s="242" t="s">
        <v>55</v>
      </c>
      <c r="F2" s="242" t="s">
        <v>358</v>
      </c>
      <c r="G2" s="242" t="s">
        <v>359</v>
      </c>
      <c r="H2" s="242" t="s">
        <v>360</v>
      </c>
      <c r="I2" s="242" t="s">
        <v>213</v>
      </c>
      <c r="J2" s="242" t="s">
        <v>213</v>
      </c>
      <c r="K2" s="242" t="s">
        <v>361</v>
      </c>
      <c r="L2" s="242" t="s">
        <v>213</v>
      </c>
      <c r="M2" s="242" t="s">
        <v>362</v>
      </c>
      <c r="N2" s="242" t="s">
        <v>363</v>
      </c>
      <c r="O2" s="242" t="s">
        <v>364</v>
      </c>
      <c r="P2" s="242" t="s">
        <v>365</v>
      </c>
      <c r="Q2" s="242" t="s">
        <v>50</v>
      </c>
      <c r="R2" s="242" t="s">
        <v>366</v>
      </c>
      <c r="S2" s="242" t="n">
        <v>1995</v>
      </c>
      <c r="T2" s="249" t="n">
        <v>0.02</v>
      </c>
      <c r="U2" s="242" t="s">
        <v>367</v>
      </c>
      <c r="V2" s="242" t="s">
        <v>368</v>
      </c>
      <c r="W2" s="250" t="s">
        <v>369</v>
      </c>
      <c r="X2" s="250" t="s">
        <v>370</v>
      </c>
      <c r="Y2" s="251" t="n">
        <v>42551</v>
      </c>
      <c r="Z2" s="252" t="n">
        <v>0.05</v>
      </c>
      <c r="AA2" s="242" t="s">
        <v>371</v>
      </c>
      <c r="AB2" s="242" t="s">
        <v>364</v>
      </c>
      <c r="AC2" s="242" t="s">
        <v>372</v>
      </c>
      <c r="AD2" s="242" t="s">
        <v>364</v>
      </c>
      <c r="AE2" s="253" t="n">
        <v>42460</v>
      </c>
      <c r="AF2" s="254" t="n">
        <v>3</v>
      </c>
      <c r="AG2" s="244" t="s">
        <v>373</v>
      </c>
      <c r="AH2" s="255" t="s">
        <v>347</v>
      </c>
      <c r="AI2" s="244" t="s">
        <v>374</v>
      </c>
      <c r="AJ2" s="244" t="s">
        <v>375</v>
      </c>
      <c r="AK2" s="244" t="s">
        <v>374</v>
      </c>
      <c r="AL2" s="244" t="s">
        <v>376</v>
      </c>
      <c r="AM2" s="244" t="s">
        <v>377</v>
      </c>
      <c r="AN2" s="244" t="s">
        <v>378</v>
      </c>
      <c r="AO2" s="244" t="s">
        <v>379</v>
      </c>
      <c r="AQ2" s="244" t="s">
        <v>371</v>
      </c>
      <c r="AR2" s="255" t="s">
        <v>380</v>
      </c>
    </row>
    <row r="3" customFormat="false" ht="60" hidden="false" customHeight="false" outlineLevel="0" collapsed="false">
      <c r="A3" s="242" t="s">
        <v>381</v>
      </c>
      <c r="B3" s="256" t="s">
        <v>382</v>
      </c>
      <c r="C3" s="242" t="s">
        <v>383</v>
      </c>
      <c r="D3" s="242" t="s">
        <v>384</v>
      </c>
      <c r="E3" s="242" t="s">
        <v>385</v>
      </c>
      <c r="F3" s="242" t="s">
        <v>206</v>
      </c>
      <c r="G3" s="242" t="s">
        <v>386</v>
      </c>
      <c r="H3" s="242" t="s">
        <v>387</v>
      </c>
      <c r="I3" s="242" t="s">
        <v>388</v>
      </c>
      <c r="J3" s="242" t="s">
        <v>210</v>
      </c>
      <c r="K3" s="242" t="s">
        <v>389</v>
      </c>
      <c r="L3" s="242" t="s">
        <v>210</v>
      </c>
      <c r="M3" s="242" t="s">
        <v>390</v>
      </c>
      <c r="N3" s="242" t="s">
        <v>391</v>
      </c>
      <c r="O3" s="242" t="s">
        <v>392</v>
      </c>
      <c r="P3" s="242" t="s">
        <v>393</v>
      </c>
      <c r="Q3" s="242" t="s">
        <v>394</v>
      </c>
      <c r="R3" s="242" t="s">
        <v>83</v>
      </c>
      <c r="S3" s="242" t="n">
        <v>1996</v>
      </c>
      <c r="T3" s="249" t="n">
        <v>0.021</v>
      </c>
      <c r="U3" s="242" t="s">
        <v>395</v>
      </c>
      <c r="V3" s="242" t="s">
        <v>359</v>
      </c>
      <c r="W3" s="250" t="s">
        <v>396</v>
      </c>
      <c r="X3" s="250" t="s">
        <v>397</v>
      </c>
      <c r="Y3" s="251" t="n">
        <v>42643</v>
      </c>
      <c r="Z3" s="252" t="n">
        <v>0.1</v>
      </c>
      <c r="AA3" s="242" t="s">
        <v>398</v>
      </c>
      <c r="AB3" s="242" t="s">
        <v>392</v>
      </c>
      <c r="AC3" s="242" t="s">
        <v>399</v>
      </c>
      <c r="AD3" s="242" t="s">
        <v>392</v>
      </c>
      <c r="AE3" s="257" t="n">
        <v>42461</v>
      </c>
      <c r="AF3" s="258" t="n">
        <v>4</v>
      </c>
      <c r="AG3" s="244" t="s">
        <v>400</v>
      </c>
      <c r="AH3" s="255" t="s">
        <v>348</v>
      </c>
      <c r="AI3" s="244" t="s">
        <v>401</v>
      </c>
      <c r="AJ3" s="244" t="s">
        <v>402</v>
      </c>
      <c r="AK3" s="244" t="s">
        <v>401</v>
      </c>
      <c r="AL3" s="244" t="s">
        <v>403</v>
      </c>
      <c r="AM3" s="244" t="s">
        <v>404</v>
      </c>
      <c r="AN3" s="244" t="s">
        <v>405</v>
      </c>
      <c r="AQ3" s="244" t="s">
        <v>398</v>
      </c>
      <c r="AR3" s="255" t="s">
        <v>406</v>
      </c>
    </row>
    <row r="4" customFormat="false" ht="64.5" hidden="false" customHeight="false" outlineLevel="0" collapsed="false">
      <c r="A4" s="242" t="s">
        <v>407</v>
      </c>
      <c r="B4" s="256" t="s">
        <v>408</v>
      </c>
      <c r="C4" s="242" t="s">
        <v>409</v>
      </c>
      <c r="D4" s="242" t="s">
        <v>342</v>
      </c>
      <c r="E4" s="242" t="s">
        <v>410</v>
      </c>
      <c r="F4" s="259" t="s">
        <v>411</v>
      </c>
      <c r="G4" s="242" t="s">
        <v>412</v>
      </c>
      <c r="H4" s="242" t="s">
        <v>216</v>
      </c>
      <c r="I4" s="242" t="s">
        <v>210</v>
      </c>
      <c r="J4" s="242" t="s">
        <v>207</v>
      </c>
      <c r="K4" s="242" t="s">
        <v>413</v>
      </c>
      <c r="L4" s="242" t="s">
        <v>207</v>
      </c>
      <c r="M4" s="242" t="s">
        <v>414</v>
      </c>
      <c r="N4" s="242" t="s">
        <v>415</v>
      </c>
      <c r="O4" s="242" t="s">
        <v>416</v>
      </c>
      <c r="P4" s="242" t="s">
        <v>417</v>
      </c>
      <c r="Q4" s="242" t="s">
        <v>418</v>
      </c>
      <c r="S4" s="242" t="n">
        <v>1997</v>
      </c>
      <c r="T4" s="249" t="n">
        <v>0.022</v>
      </c>
      <c r="U4" s="242" t="s">
        <v>419</v>
      </c>
      <c r="V4" s="242" t="s">
        <v>420</v>
      </c>
      <c r="W4" s="250" t="s">
        <v>421</v>
      </c>
      <c r="X4" s="250" t="s">
        <v>421</v>
      </c>
      <c r="Y4" s="251" t="n">
        <v>42735</v>
      </c>
      <c r="Z4" s="252" t="n">
        <v>0.15</v>
      </c>
      <c r="AA4" s="242" t="s">
        <v>422</v>
      </c>
      <c r="AB4" s="242" t="s">
        <v>416</v>
      </c>
      <c r="AC4" s="242" t="s">
        <v>423</v>
      </c>
      <c r="AD4" s="242" t="s">
        <v>416</v>
      </c>
      <c r="AE4" s="260" t="n">
        <v>42825</v>
      </c>
      <c r="AF4" s="261" t="n">
        <v>5</v>
      </c>
      <c r="AG4" s="244" t="s">
        <v>413</v>
      </c>
      <c r="AH4" s="262" t="s">
        <v>349</v>
      </c>
      <c r="AI4" s="244" t="s">
        <v>424</v>
      </c>
      <c r="AJ4" s="263" t="s">
        <v>425</v>
      </c>
      <c r="AK4" s="244" t="s">
        <v>424</v>
      </c>
      <c r="AL4" s="244" t="s">
        <v>426</v>
      </c>
      <c r="AM4" s="244" t="s">
        <v>427</v>
      </c>
      <c r="AN4" s="244" t="s">
        <v>428</v>
      </c>
      <c r="AQ4" s="244" t="s">
        <v>422</v>
      </c>
      <c r="AR4" s="255" t="s">
        <v>429</v>
      </c>
    </row>
    <row r="5" customFormat="false" ht="57" hidden="false" customHeight="false" outlineLevel="0" collapsed="false">
      <c r="A5" s="242" t="s">
        <v>430</v>
      </c>
      <c r="B5" s="242" t="s">
        <v>431</v>
      </c>
      <c r="E5" s="242" t="s">
        <v>432</v>
      </c>
      <c r="F5" s="259" t="s">
        <v>433</v>
      </c>
      <c r="I5" s="242" t="s">
        <v>434</v>
      </c>
      <c r="L5" s="242" t="s">
        <v>216</v>
      </c>
      <c r="M5" s="242" t="s">
        <v>435</v>
      </c>
      <c r="N5" s="242" t="s">
        <v>436</v>
      </c>
      <c r="O5" s="242" t="s">
        <v>437</v>
      </c>
      <c r="P5" s="242" t="s">
        <v>438</v>
      </c>
      <c r="S5" s="242" t="n">
        <v>1998</v>
      </c>
      <c r="T5" s="249" t="n">
        <v>0.023</v>
      </c>
      <c r="U5" s="242" t="s">
        <v>439</v>
      </c>
      <c r="W5" s="250" t="s">
        <v>104</v>
      </c>
      <c r="X5" s="250" t="s">
        <v>104</v>
      </c>
      <c r="Y5" s="251" t="n">
        <v>42825</v>
      </c>
      <c r="Z5" s="252" t="n">
        <v>0.2</v>
      </c>
      <c r="AA5" s="242" t="s">
        <v>440</v>
      </c>
      <c r="AB5" s="242" t="s">
        <v>437</v>
      </c>
      <c r="AC5" s="242" t="s">
        <v>441</v>
      </c>
      <c r="AD5" s="242" t="s">
        <v>437</v>
      </c>
      <c r="AE5" s="257" t="n">
        <v>42826</v>
      </c>
      <c r="AF5" s="258" t="n">
        <v>6</v>
      </c>
      <c r="AG5" s="244" t="s">
        <v>389</v>
      </c>
      <c r="AH5" s="255" t="s">
        <v>350</v>
      </c>
      <c r="AI5" s="244" t="s">
        <v>376</v>
      </c>
      <c r="AJ5" s="244" t="s">
        <v>442</v>
      </c>
      <c r="AM5" s="244" t="s">
        <v>443</v>
      </c>
      <c r="AQ5" s="244" t="s">
        <v>440</v>
      </c>
      <c r="AR5" s="255" t="s">
        <v>444</v>
      </c>
    </row>
    <row r="6" customFormat="false" ht="83.25" hidden="false" customHeight="true" outlineLevel="0" collapsed="false">
      <c r="A6" s="242" t="s">
        <v>445</v>
      </c>
      <c r="B6" s="256" t="s">
        <v>446</v>
      </c>
      <c r="E6" s="242" t="s">
        <v>447</v>
      </c>
      <c r="F6" s="242" t="s">
        <v>448</v>
      </c>
      <c r="I6" s="242" t="s">
        <v>207</v>
      </c>
      <c r="M6" s="242" t="s">
        <v>449</v>
      </c>
      <c r="N6" s="242" t="s">
        <v>450</v>
      </c>
      <c r="O6" s="242" t="s">
        <v>451</v>
      </c>
      <c r="P6" s="242" t="s">
        <v>452</v>
      </c>
      <c r="S6" s="242" t="n">
        <v>1999</v>
      </c>
      <c r="T6" s="249" t="n">
        <v>0.024</v>
      </c>
      <c r="U6" s="242" t="s">
        <v>342</v>
      </c>
      <c r="W6" s="250" t="s">
        <v>105</v>
      </c>
      <c r="X6" s="250" t="s">
        <v>105</v>
      </c>
      <c r="Y6" s="251" t="n">
        <v>42916</v>
      </c>
      <c r="Z6" s="252" t="n">
        <v>0.25</v>
      </c>
      <c r="AB6" s="242" t="s">
        <v>453</v>
      </c>
      <c r="AC6" s="242" t="s">
        <v>454</v>
      </c>
      <c r="AD6" s="242" t="s">
        <v>453</v>
      </c>
      <c r="AE6" s="260" t="n">
        <v>43190</v>
      </c>
      <c r="AF6" s="261" t="n">
        <v>7</v>
      </c>
      <c r="AG6" s="244" t="s">
        <v>361</v>
      </c>
      <c r="AH6" s="255" t="s">
        <v>351</v>
      </c>
      <c r="AI6" s="244" t="s">
        <v>403</v>
      </c>
      <c r="AJ6" s="244" t="s">
        <v>455</v>
      </c>
      <c r="AR6" s="255"/>
    </row>
    <row r="7" customFormat="false" ht="71.25" hidden="false" customHeight="false" outlineLevel="0" collapsed="false">
      <c r="A7" s="242" t="s">
        <v>456</v>
      </c>
      <c r="B7" s="242" t="s">
        <v>457</v>
      </c>
      <c r="E7" s="242" t="s">
        <v>458</v>
      </c>
      <c r="F7" s="242" t="s">
        <v>459</v>
      </c>
      <c r="I7" s="242" t="s">
        <v>460</v>
      </c>
      <c r="M7" s="242" t="s">
        <v>461</v>
      </c>
      <c r="N7" s="242" t="s">
        <v>462</v>
      </c>
      <c r="O7" s="242" t="s">
        <v>463</v>
      </c>
      <c r="P7" s="242" t="s">
        <v>464</v>
      </c>
      <c r="S7" s="242" t="n">
        <v>2000</v>
      </c>
      <c r="T7" s="249" t="n">
        <v>0.025</v>
      </c>
      <c r="W7" s="250" t="s">
        <v>110</v>
      </c>
      <c r="X7" s="250" t="s">
        <v>110</v>
      </c>
      <c r="Y7" s="251" t="n">
        <v>43008</v>
      </c>
      <c r="Z7" s="252" t="n">
        <v>0.3</v>
      </c>
      <c r="AB7" s="242" t="s">
        <v>463</v>
      </c>
      <c r="AC7" s="242" t="s">
        <v>342</v>
      </c>
      <c r="AD7" s="242" t="s">
        <v>463</v>
      </c>
      <c r="AE7" s="257" t="n">
        <v>43191</v>
      </c>
      <c r="AF7" s="258" t="n">
        <v>8</v>
      </c>
      <c r="AG7" s="244" t="s">
        <v>465</v>
      </c>
      <c r="AH7" s="255" t="s">
        <v>466</v>
      </c>
      <c r="AI7" s="244" t="s">
        <v>426</v>
      </c>
      <c r="AJ7" s="244" t="s">
        <v>467</v>
      </c>
      <c r="AR7" s="255"/>
    </row>
    <row r="8" customFormat="false" ht="77.25" hidden="false" customHeight="true" outlineLevel="0" collapsed="false">
      <c r="A8" s="242" t="s">
        <v>468</v>
      </c>
      <c r="B8" s="242" t="s">
        <v>469</v>
      </c>
      <c r="E8" s="264"/>
      <c r="F8" s="242" t="s">
        <v>440</v>
      </c>
      <c r="M8" s="242" t="s">
        <v>470</v>
      </c>
      <c r="N8" s="242" t="s">
        <v>471</v>
      </c>
      <c r="O8" s="242" t="s">
        <v>472</v>
      </c>
      <c r="P8" s="242" t="s">
        <v>473</v>
      </c>
      <c r="S8" s="242" t="n">
        <v>2001</v>
      </c>
      <c r="T8" s="249" t="n">
        <v>0.026</v>
      </c>
      <c r="W8" s="250" t="s">
        <v>114</v>
      </c>
      <c r="X8" s="250" t="s">
        <v>114</v>
      </c>
      <c r="Y8" s="251" t="n">
        <v>43100</v>
      </c>
      <c r="Z8" s="252" t="n">
        <v>0.35</v>
      </c>
      <c r="AB8" s="242" t="s">
        <v>472</v>
      </c>
      <c r="AD8" s="242" t="s">
        <v>472</v>
      </c>
      <c r="AE8" s="260" t="n">
        <v>43555</v>
      </c>
      <c r="AF8" s="261" t="n">
        <v>9</v>
      </c>
      <c r="AG8" s="244" t="s">
        <v>474</v>
      </c>
      <c r="AI8" s="244" t="s">
        <v>377</v>
      </c>
      <c r="AJ8" s="244" t="s">
        <v>475</v>
      </c>
      <c r="AQ8" s="255"/>
    </row>
    <row r="9" customFormat="false" ht="71.25" hidden="false" customHeight="false" outlineLevel="0" collapsed="false">
      <c r="A9" s="242" t="s">
        <v>476</v>
      </c>
      <c r="B9" s="256" t="s">
        <v>477</v>
      </c>
      <c r="F9" s="242" t="s">
        <v>394</v>
      </c>
      <c r="M9" s="242" t="s">
        <v>478</v>
      </c>
      <c r="N9" s="242" t="s">
        <v>479</v>
      </c>
      <c r="O9" s="242" t="s">
        <v>480</v>
      </c>
      <c r="P9" s="242" t="s">
        <v>481</v>
      </c>
      <c r="Q9" s="259"/>
      <c r="S9" s="242" t="n">
        <v>2002</v>
      </c>
      <c r="T9" s="249" t="n">
        <v>0.027</v>
      </c>
      <c r="W9" s="250" t="s">
        <v>116</v>
      </c>
      <c r="X9" s="250" t="s">
        <v>116</v>
      </c>
      <c r="Y9" s="251" t="n">
        <v>43190</v>
      </c>
      <c r="Z9" s="252" t="n">
        <v>0.4</v>
      </c>
      <c r="AB9" s="242" t="s">
        <v>480</v>
      </c>
      <c r="AD9" s="242" t="s">
        <v>480</v>
      </c>
      <c r="AE9" s="257" t="n">
        <v>43556</v>
      </c>
      <c r="AF9" s="258" t="n">
        <v>10</v>
      </c>
      <c r="AG9" s="244" t="s">
        <v>482</v>
      </c>
      <c r="AI9" s="244" t="s">
        <v>404</v>
      </c>
      <c r="AJ9" s="244" t="s">
        <v>483</v>
      </c>
    </row>
    <row r="10" customFormat="false" ht="69.75" hidden="false" customHeight="true" outlineLevel="0" collapsed="false">
      <c r="A10" s="242" t="s">
        <v>484</v>
      </c>
      <c r="B10" s="242" t="s">
        <v>485</v>
      </c>
      <c r="F10" s="259" t="s">
        <v>486</v>
      </c>
      <c r="M10" s="242" t="s">
        <v>487</v>
      </c>
      <c r="N10" s="242" t="s">
        <v>488</v>
      </c>
      <c r="O10" s="242" t="s">
        <v>342</v>
      </c>
      <c r="P10" s="242" t="s">
        <v>489</v>
      </c>
      <c r="S10" s="242" t="n">
        <v>2003</v>
      </c>
      <c r="T10" s="249" t="n">
        <v>0.028</v>
      </c>
      <c r="W10" s="265" t="s">
        <v>118</v>
      </c>
      <c r="X10" s="265" t="s">
        <v>118</v>
      </c>
      <c r="Z10" s="252" t="n">
        <v>0.45</v>
      </c>
      <c r="AB10" s="242" t="s">
        <v>342</v>
      </c>
      <c r="AD10" s="242" t="s">
        <v>372</v>
      </c>
      <c r="AE10" s="260" t="n">
        <v>43921</v>
      </c>
      <c r="AF10" s="261" t="n">
        <v>11</v>
      </c>
      <c r="AG10" s="244" t="s">
        <v>490</v>
      </c>
      <c r="AI10" s="244" t="s">
        <v>427</v>
      </c>
    </row>
    <row r="11" customFormat="false" ht="42.75" hidden="false" customHeight="false" outlineLevel="0" collapsed="false">
      <c r="A11" s="242" t="s">
        <v>491</v>
      </c>
      <c r="B11" s="242" t="s">
        <v>492</v>
      </c>
      <c r="F11" s="242" t="s">
        <v>342</v>
      </c>
      <c r="M11" s="242" t="s">
        <v>493</v>
      </c>
      <c r="N11" s="242" t="s">
        <v>494</v>
      </c>
      <c r="P11" s="242" t="s">
        <v>495</v>
      </c>
      <c r="S11" s="242" t="n">
        <v>2004</v>
      </c>
      <c r="T11" s="249" t="n">
        <v>0.029</v>
      </c>
      <c r="W11" s="265" t="s">
        <v>120</v>
      </c>
      <c r="X11" s="265" t="s">
        <v>120</v>
      </c>
      <c r="Z11" s="252" t="n">
        <v>0.5</v>
      </c>
      <c r="AD11" s="242" t="s">
        <v>399</v>
      </c>
      <c r="AE11" s="257" t="n">
        <v>43922</v>
      </c>
      <c r="AF11" s="258" t="n">
        <v>12</v>
      </c>
      <c r="AG11" s="244" t="s">
        <v>216</v>
      </c>
      <c r="AI11" s="244" t="s">
        <v>443</v>
      </c>
    </row>
    <row r="12" customFormat="false" ht="42.75" hidden="false" customHeight="false" outlineLevel="0" collapsed="false">
      <c r="A12" s="242" t="s">
        <v>496</v>
      </c>
      <c r="B12" s="242" t="s">
        <v>497</v>
      </c>
      <c r="M12" s="242" t="s">
        <v>498</v>
      </c>
      <c r="N12" s="242" t="s">
        <v>499</v>
      </c>
      <c r="S12" s="242" t="n">
        <v>2005</v>
      </c>
      <c r="T12" s="249" t="n">
        <v>0.03</v>
      </c>
      <c r="W12" s="265" t="s">
        <v>122</v>
      </c>
      <c r="X12" s="265" t="s">
        <v>122</v>
      </c>
      <c r="Z12" s="252" t="n">
        <v>0.55</v>
      </c>
      <c r="AD12" s="242" t="s">
        <v>423</v>
      </c>
      <c r="AE12" s="260" t="n">
        <v>44286</v>
      </c>
      <c r="AF12" s="261" t="n">
        <v>13</v>
      </c>
      <c r="AI12" s="244" t="s">
        <v>378</v>
      </c>
    </row>
    <row r="13" customFormat="false" ht="42.75" hidden="false" customHeight="false" outlineLevel="0" collapsed="false">
      <c r="A13" s="242" t="s">
        <v>500</v>
      </c>
      <c r="B13" s="256" t="s">
        <v>501</v>
      </c>
      <c r="M13" s="242" t="s">
        <v>502</v>
      </c>
      <c r="N13" s="242" t="s">
        <v>503</v>
      </c>
      <c r="S13" s="242" t="n">
        <v>2006</v>
      </c>
      <c r="T13" s="249" t="n">
        <v>0.031</v>
      </c>
      <c r="W13" s="265" t="s">
        <v>123</v>
      </c>
      <c r="X13" s="265" t="s">
        <v>123</v>
      </c>
      <c r="Z13" s="252" t="n">
        <v>0.6</v>
      </c>
      <c r="AD13" s="242" t="s">
        <v>441</v>
      </c>
      <c r="AE13" s="257" t="n">
        <v>44287</v>
      </c>
      <c r="AF13" s="258" t="n">
        <v>14</v>
      </c>
      <c r="AI13" s="244" t="s">
        <v>405</v>
      </c>
    </row>
    <row r="14" customFormat="false" ht="64.5" hidden="false" customHeight="false" outlineLevel="0" collapsed="false">
      <c r="A14" s="242" t="s">
        <v>504</v>
      </c>
      <c r="B14" s="265" t="s">
        <v>505</v>
      </c>
      <c r="M14" s="242" t="s">
        <v>506</v>
      </c>
      <c r="N14" s="242" t="s">
        <v>507</v>
      </c>
      <c r="S14" s="242" t="n">
        <v>2007</v>
      </c>
      <c r="T14" s="249" t="n">
        <v>0.032</v>
      </c>
      <c r="W14" s="265" t="s">
        <v>124</v>
      </c>
      <c r="X14" s="265" t="s">
        <v>124</v>
      </c>
      <c r="Z14" s="252" t="n">
        <v>0.65</v>
      </c>
      <c r="AD14" s="242" t="s">
        <v>454</v>
      </c>
      <c r="AE14" s="260" t="n">
        <v>44651</v>
      </c>
      <c r="AF14" s="261" t="n">
        <v>15</v>
      </c>
      <c r="AI14" s="244" t="s">
        <v>428</v>
      </c>
    </row>
    <row r="15" customFormat="false" ht="51.75" hidden="false" customHeight="false" outlineLevel="0" collapsed="false">
      <c r="A15" s="242" t="s">
        <v>508</v>
      </c>
      <c r="B15" s="265" t="s">
        <v>509</v>
      </c>
      <c r="M15" s="242" t="s">
        <v>510</v>
      </c>
      <c r="N15" s="242" t="s">
        <v>511</v>
      </c>
      <c r="S15" s="242" t="n">
        <v>2008</v>
      </c>
      <c r="T15" s="249" t="n">
        <v>0.033</v>
      </c>
      <c r="W15" s="265" t="s">
        <v>125</v>
      </c>
      <c r="X15" s="265" t="s">
        <v>125</v>
      </c>
      <c r="Z15" s="252" t="n">
        <v>0.7</v>
      </c>
      <c r="AD15" s="242" t="s">
        <v>342</v>
      </c>
      <c r="AE15" s="257" t="n">
        <v>44652</v>
      </c>
      <c r="AF15" s="258" t="n">
        <v>16</v>
      </c>
      <c r="AI15" s="244" t="s">
        <v>379</v>
      </c>
    </row>
    <row r="16" customFormat="false" ht="28.5" hidden="false" customHeight="false" outlineLevel="0" collapsed="false">
      <c r="A16" s="242" t="s">
        <v>512</v>
      </c>
      <c r="B16" s="266" t="s">
        <v>513</v>
      </c>
      <c r="C16" s="250"/>
      <c r="M16" s="242" t="s">
        <v>514</v>
      </c>
      <c r="N16" s="242" t="s">
        <v>515</v>
      </c>
      <c r="S16" s="242" t="n">
        <v>2009</v>
      </c>
      <c r="T16" s="249" t="n">
        <v>0.034</v>
      </c>
      <c r="W16" s="265" t="s">
        <v>126</v>
      </c>
      <c r="X16" s="265" t="s">
        <v>126</v>
      </c>
      <c r="Z16" s="252" t="n">
        <v>0.75</v>
      </c>
      <c r="AD16" s="242" t="s">
        <v>516</v>
      </c>
      <c r="AE16" s="260" t="n">
        <v>45016</v>
      </c>
      <c r="AF16" s="261" t="n">
        <v>17</v>
      </c>
      <c r="AI16" s="242"/>
    </row>
    <row r="17" customFormat="false" ht="57" hidden="false" customHeight="false" outlineLevel="0" collapsed="false">
      <c r="A17" s="242" t="s">
        <v>517</v>
      </c>
      <c r="B17" s="266" t="s">
        <v>518</v>
      </c>
      <c r="M17" s="242" t="s">
        <v>519</v>
      </c>
      <c r="N17" s="242" t="s">
        <v>520</v>
      </c>
      <c r="S17" s="242" t="n">
        <v>2010</v>
      </c>
      <c r="T17" s="249" t="n">
        <v>0.035</v>
      </c>
      <c r="W17" s="265" t="s">
        <v>127</v>
      </c>
      <c r="X17" s="265" t="s">
        <v>127</v>
      </c>
      <c r="Z17" s="252" t="n">
        <v>0.8</v>
      </c>
      <c r="AD17" s="242" t="s">
        <v>521</v>
      </c>
      <c r="AE17" s="267" t="n">
        <v>45017</v>
      </c>
      <c r="AF17" s="242" t="n">
        <v>18</v>
      </c>
      <c r="AI17" s="242"/>
    </row>
    <row r="18" customFormat="false" ht="42.75" hidden="false" customHeight="false" outlineLevel="0" collapsed="false">
      <c r="B18" s="242" t="s">
        <v>355</v>
      </c>
      <c r="C18" s="250"/>
      <c r="M18" s="242" t="s">
        <v>522</v>
      </c>
      <c r="N18" s="242" t="s">
        <v>523</v>
      </c>
      <c r="S18" s="242" t="n">
        <v>2011</v>
      </c>
      <c r="T18" s="249" t="n">
        <v>0.036</v>
      </c>
      <c r="W18" s="265" t="s">
        <v>524</v>
      </c>
      <c r="X18" s="265" t="s">
        <v>524</v>
      </c>
      <c r="Z18" s="252" t="n">
        <v>0.85</v>
      </c>
      <c r="AD18" s="242" t="s">
        <v>525</v>
      </c>
      <c r="AE18" s="267" t="n">
        <v>45382</v>
      </c>
      <c r="AF18" s="242" t="n">
        <v>19</v>
      </c>
      <c r="AI18" s="242"/>
    </row>
    <row r="19" customFormat="false" ht="28.5" hidden="false" customHeight="false" outlineLevel="0" collapsed="false">
      <c r="B19" s="242" t="s">
        <v>381</v>
      </c>
      <c r="M19" s="242" t="s">
        <v>526</v>
      </c>
      <c r="N19" s="242" t="s">
        <v>527</v>
      </c>
      <c r="S19" s="242" t="n">
        <v>2012</v>
      </c>
      <c r="T19" s="249" t="n">
        <v>0.037</v>
      </c>
      <c r="W19" s="265" t="s">
        <v>528</v>
      </c>
      <c r="X19" s="265" t="s">
        <v>528</v>
      </c>
      <c r="Z19" s="252" t="n">
        <v>0.9</v>
      </c>
      <c r="AD19" s="242" t="s">
        <v>529</v>
      </c>
      <c r="AE19" s="267" t="n">
        <v>45383</v>
      </c>
      <c r="AF19" s="242" t="n">
        <v>20</v>
      </c>
      <c r="AI19" s="242"/>
    </row>
    <row r="20" customFormat="false" ht="15.75" hidden="false" customHeight="false" outlineLevel="0" collapsed="false">
      <c r="B20" s="242" t="s">
        <v>407</v>
      </c>
      <c r="M20" s="242" t="s">
        <v>530</v>
      </c>
      <c r="N20" s="242" t="s">
        <v>531</v>
      </c>
      <c r="S20" s="242" t="n">
        <v>2013</v>
      </c>
      <c r="T20" s="249" t="n">
        <v>0.038</v>
      </c>
      <c r="W20" s="265" t="s">
        <v>532</v>
      </c>
      <c r="X20" s="265" t="s">
        <v>532</v>
      </c>
      <c r="Z20" s="252" t="n">
        <v>0.95</v>
      </c>
      <c r="AE20" s="267" t="n">
        <v>45747</v>
      </c>
      <c r="AF20" s="242" t="n">
        <v>21</v>
      </c>
      <c r="AI20" s="242"/>
    </row>
    <row r="21" customFormat="false" ht="15.75" hidden="false" customHeight="false" outlineLevel="0" collapsed="false">
      <c r="B21" s="242" t="s">
        <v>430</v>
      </c>
      <c r="M21" s="242" t="s">
        <v>533</v>
      </c>
      <c r="N21" s="242" t="s">
        <v>534</v>
      </c>
      <c r="S21" s="242" t="n">
        <v>2014</v>
      </c>
      <c r="T21" s="249" t="n">
        <v>0.039</v>
      </c>
      <c r="W21" s="265" t="s">
        <v>535</v>
      </c>
      <c r="X21" s="265" t="s">
        <v>535</v>
      </c>
      <c r="Z21" s="252" t="n">
        <v>1</v>
      </c>
      <c r="AE21" s="267" t="n">
        <v>45748</v>
      </c>
      <c r="AF21" s="242" t="n">
        <v>22</v>
      </c>
      <c r="AI21" s="242"/>
    </row>
    <row r="22" customFormat="false" ht="15.75" hidden="false" customHeight="false" outlineLevel="0" collapsed="false">
      <c r="B22" s="242" t="s">
        <v>445</v>
      </c>
      <c r="M22" s="242" t="s">
        <v>536</v>
      </c>
      <c r="N22" s="242" t="s">
        <v>537</v>
      </c>
      <c r="S22" s="242" t="n">
        <v>2015</v>
      </c>
      <c r="T22" s="249" t="n">
        <v>0.04</v>
      </c>
      <c r="W22" s="242" t="s">
        <v>538</v>
      </c>
      <c r="X22" s="242" t="s">
        <v>538</v>
      </c>
      <c r="Z22" s="252"/>
      <c r="AE22" s="267" t="n">
        <v>46112</v>
      </c>
      <c r="AF22" s="242" t="n">
        <v>23</v>
      </c>
      <c r="AI22" s="242"/>
    </row>
    <row r="23" customFormat="false" ht="57" hidden="false" customHeight="false" outlineLevel="0" collapsed="false">
      <c r="B23" s="242" t="s">
        <v>456</v>
      </c>
      <c r="M23" s="242" t="s">
        <v>539</v>
      </c>
      <c r="N23" s="242" t="s">
        <v>540</v>
      </c>
      <c r="Q23" s="259"/>
      <c r="S23" s="242" t="n">
        <v>2016</v>
      </c>
      <c r="T23" s="249" t="n">
        <v>0.041</v>
      </c>
      <c r="W23" s="242" t="s">
        <v>541</v>
      </c>
      <c r="X23" s="242" t="s">
        <v>541</v>
      </c>
      <c r="Z23" s="252"/>
      <c r="AI23" s="242"/>
    </row>
    <row r="24" customFormat="false" ht="15.75" hidden="false" customHeight="false" outlineLevel="0" collapsed="false">
      <c r="B24" s="242" t="s">
        <v>468</v>
      </c>
      <c r="M24" s="242" t="s">
        <v>542</v>
      </c>
      <c r="N24" s="242" t="s">
        <v>543</v>
      </c>
      <c r="S24" s="242" t="n">
        <v>2017</v>
      </c>
      <c r="T24" s="249" t="n">
        <v>0.042</v>
      </c>
      <c r="W24" s="242" t="s">
        <v>544</v>
      </c>
      <c r="X24" s="242" t="s">
        <v>544</v>
      </c>
      <c r="Z24" s="252"/>
      <c r="AI24" s="242"/>
    </row>
    <row r="25" customFormat="false" ht="42.75" hidden="false" customHeight="false" outlineLevel="0" collapsed="false">
      <c r="B25" s="242" t="s">
        <v>476</v>
      </c>
      <c r="M25" s="242" t="s">
        <v>545</v>
      </c>
      <c r="N25" s="242" t="s">
        <v>546</v>
      </c>
      <c r="S25" s="242" t="n">
        <v>2018</v>
      </c>
      <c r="T25" s="249" t="n">
        <v>0.043</v>
      </c>
      <c r="W25" s="242" t="s">
        <v>547</v>
      </c>
      <c r="X25" s="242" t="s">
        <v>547</v>
      </c>
      <c r="Z25" s="252"/>
      <c r="AI25" s="242"/>
    </row>
    <row r="26" customFormat="false" ht="42.75" hidden="false" customHeight="false" outlineLevel="0" collapsed="false">
      <c r="B26" s="242" t="s">
        <v>484</v>
      </c>
      <c r="M26" s="242" t="s">
        <v>548</v>
      </c>
      <c r="N26" s="242" t="s">
        <v>549</v>
      </c>
      <c r="S26" s="242" t="n">
        <v>2019</v>
      </c>
      <c r="T26" s="249" t="n">
        <v>0.044</v>
      </c>
      <c r="W26" s="242" t="s">
        <v>550</v>
      </c>
      <c r="X26" s="242" t="s">
        <v>550</v>
      </c>
      <c r="Z26" s="252"/>
      <c r="AI26" s="242"/>
    </row>
    <row r="27" customFormat="false" ht="42.75" hidden="false" customHeight="false" outlineLevel="0" collapsed="false">
      <c r="B27" s="242" t="s">
        <v>491</v>
      </c>
      <c r="M27" s="242" t="s">
        <v>551</v>
      </c>
      <c r="N27" s="242" t="s">
        <v>552</v>
      </c>
      <c r="S27" s="242" t="n">
        <v>2020</v>
      </c>
      <c r="T27" s="249" t="n">
        <v>0.045</v>
      </c>
      <c r="W27" s="242" t="s">
        <v>553</v>
      </c>
      <c r="X27" s="242" t="s">
        <v>553</v>
      </c>
      <c r="Z27" s="252"/>
      <c r="AI27" s="242"/>
    </row>
    <row r="28" customFormat="false" ht="42.75" hidden="false" customHeight="false" outlineLevel="0" collapsed="false">
      <c r="B28" s="242" t="s">
        <v>496</v>
      </c>
      <c r="M28" s="242" t="s">
        <v>554</v>
      </c>
      <c r="N28" s="242" t="s">
        <v>555</v>
      </c>
      <c r="T28" s="249" t="n">
        <v>0.046</v>
      </c>
      <c r="W28" s="242" t="s">
        <v>556</v>
      </c>
      <c r="X28" s="242" t="s">
        <v>556</v>
      </c>
      <c r="Z28" s="252"/>
      <c r="AI28" s="242"/>
    </row>
    <row r="29" customFormat="false" ht="15.75" hidden="false" customHeight="false" outlineLevel="0" collapsed="false">
      <c r="B29" s="242" t="s">
        <v>500</v>
      </c>
      <c r="M29" s="242" t="s">
        <v>557</v>
      </c>
      <c r="T29" s="249" t="n">
        <v>0.047</v>
      </c>
      <c r="W29" s="242" t="s">
        <v>558</v>
      </c>
      <c r="X29" s="242" t="s">
        <v>558</v>
      </c>
      <c r="Z29" s="252"/>
      <c r="AI29" s="242"/>
    </row>
    <row r="30" customFormat="false" ht="15.75" hidden="false" customHeight="false" outlineLevel="0" collapsed="false">
      <c r="B30" s="242" t="s">
        <v>504</v>
      </c>
      <c r="M30" s="259" t="s">
        <v>342</v>
      </c>
      <c r="T30" s="249" t="n">
        <v>0.048</v>
      </c>
      <c r="W30" s="242" t="s">
        <v>559</v>
      </c>
      <c r="X30" s="242" t="s">
        <v>559</v>
      </c>
      <c r="Z30" s="252"/>
      <c r="AI30" s="242"/>
    </row>
    <row r="31" customFormat="false" ht="15.75" hidden="false" customHeight="false" outlineLevel="0" collapsed="false">
      <c r="B31" s="242" t="s">
        <v>508</v>
      </c>
      <c r="T31" s="249" t="n">
        <v>0.049</v>
      </c>
      <c r="W31" s="242" t="s">
        <v>560</v>
      </c>
      <c r="X31" s="242" t="s">
        <v>560</v>
      </c>
      <c r="Z31" s="252"/>
      <c r="AI31" s="242"/>
    </row>
    <row r="32" customFormat="false" ht="15.75" hidden="false" customHeight="false" outlineLevel="0" collapsed="false">
      <c r="B32" s="242" t="s">
        <v>512</v>
      </c>
      <c r="C32" s="250"/>
      <c r="T32" s="249" t="n">
        <v>0.05</v>
      </c>
      <c r="W32" s="242" t="s">
        <v>561</v>
      </c>
      <c r="X32" s="242" t="s">
        <v>561</v>
      </c>
      <c r="Z32" s="252"/>
      <c r="AI32" s="242"/>
    </row>
    <row r="33" customFormat="false" ht="15.75" hidden="false" customHeight="false" outlineLevel="0" collapsed="false">
      <c r="B33" s="242" t="s">
        <v>517</v>
      </c>
      <c r="W33" s="242" t="s">
        <v>562</v>
      </c>
      <c r="X33" s="242" t="s">
        <v>562</v>
      </c>
      <c r="Z33" s="252"/>
      <c r="AI33" s="242"/>
    </row>
    <row r="34" customFormat="false" ht="15.75" hidden="false" customHeight="false" outlineLevel="0" collapsed="false">
      <c r="B34" s="268"/>
      <c r="W34" s="242" t="s">
        <v>563</v>
      </c>
      <c r="X34" s="242" t="s">
        <v>563</v>
      </c>
      <c r="Z34" s="252"/>
      <c r="AI34" s="242"/>
    </row>
    <row r="35" customFormat="false" ht="15.75" hidden="false" customHeight="false" outlineLevel="0" collapsed="false">
      <c r="B35" s="268"/>
      <c r="W35" s="242" t="s">
        <v>564</v>
      </c>
      <c r="X35" s="242" t="s">
        <v>564</v>
      </c>
      <c r="Z35" s="252"/>
      <c r="AI35" s="242"/>
    </row>
    <row r="36" customFormat="false" ht="15.75" hidden="false" customHeight="false" outlineLevel="0" collapsed="false">
      <c r="B36" s="268"/>
      <c r="W36" s="242" t="s">
        <v>565</v>
      </c>
      <c r="X36" s="242" t="s">
        <v>565</v>
      </c>
      <c r="Z36" s="252"/>
      <c r="AI36" s="242"/>
    </row>
    <row r="37" customFormat="false" ht="15.75" hidden="false" customHeight="false" outlineLevel="0" collapsed="false">
      <c r="B37" s="268"/>
      <c r="W37" s="242" t="s">
        <v>566</v>
      </c>
      <c r="X37" s="242" t="s">
        <v>566</v>
      </c>
      <c r="Z37" s="252"/>
      <c r="AI37" s="242"/>
    </row>
    <row r="38" customFormat="false" ht="15.75" hidden="false" customHeight="false" outlineLevel="0" collapsed="false">
      <c r="B38" s="268"/>
      <c r="W38" s="242" t="s">
        <v>567</v>
      </c>
      <c r="X38" s="242" t="s">
        <v>567</v>
      </c>
      <c r="Z38" s="252"/>
      <c r="AI38" s="242"/>
    </row>
    <row r="39" customFormat="false" ht="15.75" hidden="false" customHeight="false" outlineLevel="0" collapsed="false">
      <c r="B39" s="268"/>
      <c r="W39" s="242" t="s">
        <v>568</v>
      </c>
      <c r="X39" s="242" t="s">
        <v>568</v>
      </c>
      <c r="Z39" s="252"/>
      <c r="AI39" s="242"/>
    </row>
    <row r="40" customFormat="false" ht="15.75" hidden="false" customHeight="false" outlineLevel="0" collapsed="false">
      <c r="B40" s="268"/>
      <c r="W40" s="242" t="s">
        <v>569</v>
      </c>
      <c r="X40" s="242" t="s">
        <v>569</v>
      </c>
      <c r="Z40" s="252"/>
      <c r="AI40" s="242"/>
    </row>
    <row r="41" customFormat="false" ht="15.75" hidden="false" customHeight="false" outlineLevel="0" collapsed="false">
      <c r="B41" s="268"/>
      <c r="W41" s="242" t="s">
        <v>570</v>
      </c>
      <c r="X41" s="242" t="s">
        <v>570</v>
      </c>
      <c r="Z41" s="252"/>
      <c r="AI41" s="242"/>
    </row>
    <row r="42" customFormat="false" ht="15.75" hidden="false" customHeight="false" outlineLevel="0" collapsed="false">
      <c r="B42" s="268"/>
      <c r="W42" s="242" t="s">
        <v>571</v>
      </c>
      <c r="X42" s="242" t="s">
        <v>571</v>
      </c>
      <c r="Z42" s="252"/>
      <c r="AI42" s="242"/>
    </row>
    <row r="43" customFormat="false" ht="15.75" hidden="false" customHeight="false" outlineLevel="0" collapsed="false">
      <c r="B43" s="268"/>
      <c r="W43" s="242" t="s">
        <v>572</v>
      </c>
      <c r="X43" s="242" t="s">
        <v>572</v>
      </c>
      <c r="Z43" s="252"/>
      <c r="AI43" s="242"/>
    </row>
    <row r="44" customFormat="false" ht="15.75" hidden="false" customHeight="false" outlineLevel="0" collapsed="false">
      <c r="B44" s="268"/>
      <c r="W44" s="242" t="s">
        <v>573</v>
      </c>
      <c r="X44" s="242" t="s">
        <v>573</v>
      </c>
      <c r="Z44" s="252"/>
      <c r="AI44" s="242"/>
    </row>
    <row r="45" customFormat="false" ht="15.75" hidden="false" customHeight="false" outlineLevel="0" collapsed="false">
      <c r="B45" s="268"/>
      <c r="W45" s="242" t="s">
        <v>574</v>
      </c>
      <c r="X45" s="242" t="s">
        <v>574</v>
      </c>
      <c r="Z45" s="252"/>
      <c r="AI45" s="242"/>
    </row>
    <row r="46" customFormat="false" ht="15.75" hidden="false" customHeight="false" outlineLevel="0" collapsed="false">
      <c r="B46" s="268"/>
      <c r="W46" s="242" t="s">
        <v>575</v>
      </c>
      <c r="X46" s="242" t="s">
        <v>575</v>
      </c>
      <c r="Z46" s="252"/>
    </row>
    <row r="47" customFormat="false" ht="15.75" hidden="false" customHeight="false" outlineLevel="0" collapsed="false">
      <c r="B47" s="268"/>
      <c r="W47" s="242" t="s">
        <v>576</v>
      </c>
      <c r="X47" s="242" t="s">
        <v>576</v>
      </c>
      <c r="Z47" s="252"/>
    </row>
    <row r="48" customFormat="false" ht="15.75" hidden="false" customHeight="false" outlineLevel="0" collapsed="false">
      <c r="B48" s="268"/>
      <c r="W48" s="242" t="s">
        <v>577</v>
      </c>
      <c r="X48" s="242" t="s">
        <v>577</v>
      </c>
      <c r="Z48" s="252"/>
    </row>
    <row r="49" customFormat="false" ht="15.75" hidden="false" customHeight="false" outlineLevel="0" collapsed="false">
      <c r="B49" s="268"/>
      <c r="W49" s="242" t="s">
        <v>578</v>
      </c>
      <c r="X49" s="242" t="s">
        <v>578</v>
      </c>
      <c r="Z49" s="252"/>
    </row>
    <row r="50" customFormat="false" ht="15" hidden="false" customHeight="false" outlineLevel="0" collapsed="false">
      <c r="B50" s="268"/>
      <c r="W50" s="242" t="s">
        <v>579</v>
      </c>
      <c r="X50" s="242" t="s">
        <v>579</v>
      </c>
    </row>
    <row r="51" customFormat="false" ht="15" hidden="false" customHeight="false" outlineLevel="0" collapsed="false">
      <c r="B51" s="268"/>
      <c r="W51" s="242" t="s">
        <v>580</v>
      </c>
      <c r="X51" s="242" t="s">
        <v>580</v>
      </c>
    </row>
    <row r="52" customFormat="false" ht="15" hidden="false" customHeight="false" outlineLevel="0" collapsed="false">
      <c r="B52" s="268"/>
      <c r="W52" s="242" t="s">
        <v>581</v>
      </c>
      <c r="X52" s="242" t="s">
        <v>581</v>
      </c>
    </row>
    <row r="53" customFormat="false" ht="15" hidden="false" customHeight="false" outlineLevel="0" collapsed="false">
      <c r="B53" s="268"/>
      <c r="W53" s="242" t="s">
        <v>582</v>
      </c>
      <c r="X53" s="242" t="s">
        <v>582</v>
      </c>
    </row>
    <row r="54" customFormat="false" ht="15" hidden="false" customHeight="false" outlineLevel="0" collapsed="false">
      <c r="B54" s="268"/>
      <c r="W54" s="242" t="s">
        <v>583</v>
      </c>
      <c r="X54" s="242" t="s">
        <v>583</v>
      </c>
    </row>
    <row r="55" customFormat="false" ht="15" hidden="false" customHeight="false" outlineLevel="0" collapsed="false">
      <c r="B55" s="268"/>
      <c r="W55" s="242" t="s">
        <v>584</v>
      </c>
      <c r="X55" s="242" t="s">
        <v>584</v>
      </c>
    </row>
    <row r="56" customFormat="false" ht="15" hidden="false" customHeight="false" outlineLevel="0" collapsed="false">
      <c r="W56" s="242" t="s">
        <v>585</v>
      </c>
      <c r="X56" s="242" t="s">
        <v>585</v>
      </c>
    </row>
    <row r="57" customFormat="false" ht="15" hidden="false" customHeight="false" outlineLevel="0" collapsed="false">
      <c r="W57" s="242" t="s">
        <v>586</v>
      </c>
      <c r="X57" s="242" t="s">
        <v>586</v>
      </c>
    </row>
    <row r="58" customFormat="false" ht="15" hidden="false" customHeight="false" outlineLevel="0" collapsed="false">
      <c r="W58" s="242" t="s">
        <v>587</v>
      </c>
      <c r="X58" s="242" t="s">
        <v>587</v>
      </c>
    </row>
    <row r="59" customFormat="false" ht="15" hidden="false" customHeight="false" outlineLevel="0" collapsed="false">
      <c r="W59" s="242" t="s">
        <v>588</v>
      </c>
      <c r="X59" s="242" t="s">
        <v>588</v>
      </c>
    </row>
    <row r="60" customFormat="false" ht="15" hidden="false" customHeight="false" outlineLevel="0" collapsed="false">
      <c r="W60" s="242" t="s">
        <v>589</v>
      </c>
      <c r="X60" s="242" t="s">
        <v>589</v>
      </c>
    </row>
    <row r="61" customFormat="false" ht="15" hidden="false" customHeight="false" outlineLevel="0" collapsed="false">
      <c r="W61" s="242" t="s">
        <v>590</v>
      </c>
      <c r="X61" s="242" t="s">
        <v>590</v>
      </c>
    </row>
    <row r="62" customFormat="false" ht="15" hidden="false" customHeight="false" outlineLevel="0" collapsed="false">
      <c r="W62" s="242" t="s">
        <v>591</v>
      </c>
      <c r="X62" s="242" t="s">
        <v>591</v>
      </c>
    </row>
    <row r="63" customFormat="false" ht="15" hidden="false" customHeight="false" outlineLevel="0" collapsed="false">
      <c r="W63" s="242" t="s">
        <v>592</v>
      </c>
      <c r="X63" s="242" t="s">
        <v>592</v>
      </c>
    </row>
    <row r="64" customFormat="false" ht="15" hidden="false" customHeight="false" outlineLevel="0" collapsed="false">
      <c r="W64" s="242" t="s">
        <v>593</v>
      </c>
      <c r="X64" s="242" t="s">
        <v>593</v>
      </c>
    </row>
    <row r="65" customFormat="false" ht="15" hidden="false" customHeight="false" outlineLevel="0" collapsed="false">
      <c r="W65" s="242" t="s">
        <v>594</v>
      </c>
      <c r="X65" s="242" t="s">
        <v>594</v>
      </c>
    </row>
    <row r="66" customFormat="false" ht="15" hidden="false" customHeight="false" outlineLevel="0" collapsed="false">
      <c r="W66" s="242" t="s">
        <v>595</v>
      </c>
      <c r="X66" s="242" t="s">
        <v>595</v>
      </c>
    </row>
    <row r="67" customFormat="false" ht="15" hidden="false" customHeight="false" outlineLevel="0" collapsed="false">
      <c r="W67" s="242" t="s">
        <v>596</v>
      </c>
      <c r="X67" s="242" t="s">
        <v>596</v>
      </c>
    </row>
    <row r="68" customFormat="false" ht="15" hidden="false" customHeight="false" outlineLevel="0" collapsed="false">
      <c r="W68" s="242" t="s">
        <v>597</v>
      </c>
      <c r="X68" s="242" t="s">
        <v>597</v>
      </c>
    </row>
    <row r="69" customFormat="false" ht="15" hidden="false" customHeight="false" outlineLevel="0" collapsed="false">
      <c r="W69" s="242" t="s">
        <v>598</v>
      </c>
      <c r="X69" s="242" t="s">
        <v>598</v>
      </c>
    </row>
    <row r="70" customFormat="false" ht="15" hidden="false" customHeight="false" outlineLevel="0" collapsed="false">
      <c r="W70" s="242" t="s">
        <v>599</v>
      </c>
      <c r="X70" s="242" t="s">
        <v>599</v>
      </c>
    </row>
    <row r="71" customFormat="false" ht="15" hidden="false" customHeight="false" outlineLevel="0" collapsed="false">
      <c r="W71" s="242" t="s">
        <v>600</v>
      </c>
      <c r="X71" s="242" t="s">
        <v>600</v>
      </c>
    </row>
    <row r="72" customFormat="false" ht="15" hidden="false" customHeight="false" outlineLevel="0" collapsed="false">
      <c r="W72" s="242" t="s">
        <v>601</v>
      </c>
      <c r="X72" s="242" t="s">
        <v>601</v>
      </c>
    </row>
    <row r="73" customFormat="false" ht="15" hidden="false" customHeight="false" outlineLevel="0" collapsed="false">
      <c r="W73" s="242" t="s">
        <v>602</v>
      </c>
      <c r="X73" s="242" t="s">
        <v>602</v>
      </c>
    </row>
    <row r="74" customFormat="false" ht="15" hidden="false" customHeight="false" outlineLevel="0" collapsed="false">
      <c r="W74" s="242" t="s">
        <v>603</v>
      </c>
      <c r="X74" s="242" t="s">
        <v>603</v>
      </c>
    </row>
    <row r="75" customFormat="false" ht="15" hidden="false" customHeight="false" outlineLevel="0" collapsed="false">
      <c r="W75" s="242" t="s">
        <v>604</v>
      </c>
      <c r="X75" s="242" t="s">
        <v>604</v>
      </c>
    </row>
    <row r="76" customFormat="false" ht="15" hidden="false" customHeight="false" outlineLevel="0" collapsed="false">
      <c r="W76" s="242" t="s">
        <v>605</v>
      </c>
      <c r="X76" s="242" t="s">
        <v>605</v>
      </c>
    </row>
    <row r="77" customFormat="false" ht="15" hidden="false" customHeight="false" outlineLevel="0" collapsed="false">
      <c r="W77" s="242" t="s">
        <v>606</v>
      </c>
      <c r="X77" s="242" t="s">
        <v>606</v>
      </c>
    </row>
    <row r="78" customFormat="false" ht="15" hidden="false" customHeight="false" outlineLevel="0" collapsed="false">
      <c r="W78" s="242" t="s">
        <v>607</v>
      </c>
      <c r="X78" s="242" t="s">
        <v>607</v>
      </c>
    </row>
    <row r="79" customFormat="false" ht="15" hidden="false" customHeight="false" outlineLevel="0" collapsed="false">
      <c r="W79" s="242" t="s">
        <v>608</v>
      </c>
      <c r="X79" s="242" t="s">
        <v>608</v>
      </c>
    </row>
    <row r="80" customFormat="false" ht="15" hidden="false" customHeight="false" outlineLevel="0" collapsed="false">
      <c r="W80" s="242" t="s">
        <v>609</v>
      </c>
      <c r="X80" s="242" t="s">
        <v>609</v>
      </c>
    </row>
    <row r="81" customFormat="false" ht="15" hidden="false" customHeight="false" outlineLevel="0" collapsed="false">
      <c r="W81" s="242" t="s">
        <v>610</v>
      </c>
      <c r="X81" s="242" t="s">
        <v>610</v>
      </c>
    </row>
    <row r="82" customFormat="false" ht="15" hidden="false" customHeight="false" outlineLevel="0" collapsed="false">
      <c r="W82" s="242" t="s">
        <v>611</v>
      </c>
      <c r="X82" s="242" t="s">
        <v>611</v>
      </c>
    </row>
    <row r="83" customFormat="false" ht="15" hidden="false" customHeight="false" outlineLevel="0" collapsed="false">
      <c r="W83" s="242" t="s">
        <v>612</v>
      </c>
      <c r="X83" s="242" t="s">
        <v>612</v>
      </c>
    </row>
    <row r="84" customFormat="false" ht="15" hidden="false" customHeight="false" outlineLevel="0" collapsed="false">
      <c r="W84" s="242" t="s">
        <v>613</v>
      </c>
      <c r="X84" s="242" t="s">
        <v>613</v>
      </c>
    </row>
    <row r="85" customFormat="false" ht="15" hidden="false" customHeight="false" outlineLevel="0" collapsed="false">
      <c r="W85" s="242" t="s">
        <v>614</v>
      </c>
      <c r="X85" s="242" t="s">
        <v>614</v>
      </c>
    </row>
    <row r="86" customFormat="false" ht="15" hidden="false" customHeight="false" outlineLevel="0" collapsed="false">
      <c r="W86" s="242" t="s">
        <v>615</v>
      </c>
      <c r="X86" s="242" t="s">
        <v>615</v>
      </c>
    </row>
    <row r="87" customFormat="false" ht="15" hidden="false" customHeight="false" outlineLevel="0" collapsed="false">
      <c r="W87" s="242" t="s">
        <v>616</v>
      </c>
      <c r="X87" s="242" t="s">
        <v>616</v>
      </c>
    </row>
    <row r="88" customFormat="false" ht="15" hidden="false" customHeight="false" outlineLevel="0" collapsed="false">
      <c r="W88" s="242" t="s">
        <v>617</v>
      </c>
      <c r="X88" s="242" t="s">
        <v>617</v>
      </c>
    </row>
    <row r="89" customFormat="false" ht="15" hidden="false" customHeight="false" outlineLevel="0" collapsed="false">
      <c r="W89" s="242" t="s">
        <v>618</v>
      </c>
      <c r="X89" s="242" t="s">
        <v>618</v>
      </c>
    </row>
    <row r="90" customFormat="false" ht="15" hidden="false" customHeight="false" outlineLevel="0" collapsed="false">
      <c r="W90" s="242" t="s">
        <v>619</v>
      </c>
      <c r="X90" s="242" t="s">
        <v>619</v>
      </c>
    </row>
  </sheetData>
  <hyperlinks>
    <hyperlink ref="AH4" r:id="rId1" display="Roads, Devolution &amp; Motoring"/>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A12"/>
  <sheetViews>
    <sheetView showFormulas="false" showGridLines="true" showRowColHeaders="true" showZeros="true" rightToLeft="false" tabSelected="false" showOutlineSymbols="true" defaultGridColor="true" view="pageBreakPreview" topLeftCell="A1" colorId="64" zoomScale="100" zoomScaleNormal="100" zoomScalePageLayoutView="100" workbookViewId="0">
      <selection pane="topLeft" activeCell="A3" activeCellId="0" sqref="A3"/>
    </sheetView>
  </sheetViews>
  <sheetFormatPr defaultRowHeight="15" outlineLevelRow="0" outlineLevelCol="0"/>
  <cols>
    <col collapsed="false" customWidth="true" hidden="false" outlineLevel="0" max="1" min="1" style="0" width="27"/>
    <col collapsed="false" customWidth="true" hidden="false" outlineLevel="0" max="1025" min="2" style="0" width="8.56"/>
  </cols>
  <sheetData>
    <row r="1" customFormat="false" ht="15" hidden="false" customHeight="false" outlineLevel="0" collapsed="false">
      <c r="A1" s="0" t="s">
        <v>620</v>
      </c>
    </row>
    <row r="2" customFormat="false" ht="15" hidden="false" customHeight="false" outlineLevel="0" collapsed="false">
      <c r="A2" s="0" t="s">
        <v>621</v>
      </c>
    </row>
    <row r="3" customFormat="false" ht="15" hidden="false" customHeight="false" outlineLevel="0" collapsed="false">
      <c r="A3" s="0" t="s">
        <v>622</v>
      </c>
    </row>
    <row r="4" customFormat="false" ht="15" hidden="false" customHeight="false" outlineLevel="0" collapsed="false">
      <c r="A4" s="0" t="s">
        <v>623</v>
      </c>
    </row>
    <row r="5" customFormat="false" ht="15" hidden="false" customHeight="false" outlineLevel="0" collapsed="false">
      <c r="A5" s="0" t="s">
        <v>624</v>
      </c>
    </row>
    <row r="6" customFormat="false" ht="15" hidden="false" customHeight="false" outlineLevel="0" collapsed="false">
      <c r="A6" s="0" t="s">
        <v>625</v>
      </c>
    </row>
    <row r="7" customFormat="false" ht="15" hidden="false" customHeight="false" outlineLevel="0" collapsed="false">
      <c r="A7" s="0" t="s">
        <v>626</v>
      </c>
    </row>
    <row r="8" customFormat="false" ht="15" hidden="false" customHeight="false" outlineLevel="0" collapsed="false">
      <c r="A8" s="0" t="s">
        <v>627</v>
      </c>
    </row>
    <row r="9" customFormat="false" ht="15" hidden="false" customHeight="false" outlineLevel="0" collapsed="false">
      <c r="A9" s="0" t="s">
        <v>628</v>
      </c>
    </row>
    <row r="11" customFormat="false" ht="15.75" hidden="false" customHeight="false" outlineLevel="0" collapsed="false">
      <c r="A11" s="269" t="s">
        <v>629</v>
      </c>
    </row>
    <row r="12" customFormat="false" ht="15" hidden="false" customHeight="false" outlineLevel="0" collapsed="false">
      <c r="A12" s="0" t="s">
        <v>630</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A1:D5"/>
  <sheetViews>
    <sheetView showFormulas="false" showGridLines="true" showRowColHeaders="true" showZeros="true" rightToLeft="false" tabSelected="false" showOutlineSymbols="true" defaultGridColor="true" view="pageBreakPreview" topLeftCell="A1" colorId="64" zoomScale="100" zoomScaleNormal="100" zoomScalePageLayoutView="100" workbookViewId="0">
      <selection pane="topLeft" activeCell="D10" activeCellId="0" sqref="D10"/>
    </sheetView>
  </sheetViews>
  <sheetFormatPr defaultRowHeight="15" outlineLevelRow="0" outlineLevelCol="0"/>
  <cols>
    <col collapsed="false" customWidth="true" hidden="false" outlineLevel="0" max="1" min="1" style="0" width="8.56"/>
    <col collapsed="false" customWidth="true" hidden="false" outlineLevel="0" max="2" min="2" style="0" width="9.89"/>
    <col collapsed="false" customWidth="true" hidden="false" outlineLevel="0" max="3" min="3" style="0" width="18"/>
    <col collapsed="false" customWidth="true" hidden="false" outlineLevel="0" max="4" min="4" style="0" width="120.44"/>
    <col collapsed="false" customWidth="true" hidden="false" outlineLevel="0" max="1025" min="5" style="0" width="8.56"/>
  </cols>
  <sheetData>
    <row r="1" customFormat="false" ht="15" hidden="false" customHeight="false" outlineLevel="0" collapsed="false">
      <c r="A1" s="0" t="s">
        <v>631</v>
      </c>
      <c r="B1" s="0" t="s">
        <v>48</v>
      </c>
      <c r="C1" s="0" t="s">
        <v>632</v>
      </c>
      <c r="D1" s="0" t="s">
        <v>633</v>
      </c>
    </row>
    <row r="2" customFormat="false" ht="30" hidden="false" customHeight="false" outlineLevel="0" collapsed="false">
      <c r="A2" s="0" t="s">
        <v>634</v>
      </c>
      <c r="B2" s="270" t="n">
        <v>42832</v>
      </c>
      <c r="C2" s="0" t="s">
        <v>635</v>
      </c>
      <c r="D2" s="35" t="s">
        <v>636</v>
      </c>
    </row>
    <row r="3" customFormat="false" ht="15" hidden="false" customHeight="false" outlineLevel="0" collapsed="false">
      <c r="A3" s="0" t="s">
        <v>637</v>
      </c>
      <c r="B3" s="270" t="n">
        <v>42835</v>
      </c>
      <c r="C3" s="0" t="s">
        <v>635</v>
      </c>
      <c r="D3" s="0" t="s">
        <v>638</v>
      </c>
    </row>
    <row r="4" customFormat="false" ht="15" hidden="false" customHeight="false" outlineLevel="0" collapsed="false">
      <c r="A4" s="0" t="s">
        <v>639</v>
      </c>
      <c r="B4" s="270" t="n">
        <v>42838</v>
      </c>
      <c r="C4" s="0" t="s">
        <v>635</v>
      </c>
      <c r="D4" s="0" t="s">
        <v>640</v>
      </c>
    </row>
    <row r="5" customFormat="false" ht="15" hidden="false" customHeight="false" outlineLevel="0" collapsed="false">
      <c r="A5" s="0" t="s">
        <v>641</v>
      </c>
      <c r="B5" s="270" t="n">
        <v>42872</v>
      </c>
      <c r="C5" s="0" t="s">
        <v>635</v>
      </c>
      <c r="D5" s="0" t="s">
        <v>642</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A1:O35"/>
  <sheetViews>
    <sheetView showFormulas="false" showGridLines="true" showRowColHeaders="true" showZeros="true" rightToLeft="false" tabSelected="false" showOutlineSymbols="true" defaultGridColor="true" view="pageBreakPreview" topLeftCell="A27" colorId="64" zoomScale="100" zoomScaleNormal="100" zoomScalePageLayoutView="100" workbookViewId="0">
      <selection pane="topLeft" activeCell="A32" activeCellId="0" sqref="A32"/>
    </sheetView>
  </sheetViews>
  <sheetFormatPr defaultRowHeight="15" outlineLevelRow="0" outlineLevelCol="0"/>
  <cols>
    <col collapsed="false" customWidth="true" hidden="false" outlineLevel="0" max="1" min="1" style="0" width="19.66"/>
    <col collapsed="false" customWidth="true" hidden="false" outlineLevel="0" max="2" min="2" style="0" width="10.78"/>
    <col collapsed="false" customWidth="true" hidden="false" outlineLevel="0" max="3" min="3" style="0" width="8.89"/>
    <col collapsed="false" customWidth="true" hidden="false" outlineLevel="0" max="4" min="4" style="0" width="3.11"/>
    <col collapsed="false" customWidth="true" hidden="false" outlineLevel="0" max="5" min="5" style="0" width="18.89"/>
    <col collapsed="false" customWidth="true" hidden="false" outlineLevel="0" max="7" min="6" style="0" width="8.56"/>
    <col collapsed="false" customWidth="true" hidden="false" outlineLevel="0" max="8" min="8" style="0" width="3.77"/>
    <col collapsed="false" customWidth="true" hidden="false" outlineLevel="0" max="11" min="9" style="0" width="8.56"/>
    <col collapsed="false" customWidth="true" hidden="false" outlineLevel="0" max="12" min="12" style="0" width="3.11"/>
    <col collapsed="false" customWidth="true" hidden="false" outlineLevel="0" max="1025" min="13" style="0" width="8.56"/>
  </cols>
  <sheetData>
    <row r="1" customFormat="false" ht="15" hidden="false" customHeight="false" outlineLevel="0" collapsed="false">
      <c r="A1" s="0" t="s">
        <v>643</v>
      </c>
    </row>
    <row r="2" customFormat="false" ht="76.5" hidden="false" customHeight="true" outlineLevel="0" collapsed="false">
      <c r="A2" s="271" t="s">
        <v>644</v>
      </c>
      <c r="B2" s="272"/>
      <c r="C2" s="35" t="s">
        <v>645</v>
      </c>
      <c r="E2" s="273" t="s">
        <v>646</v>
      </c>
      <c r="F2" s="274"/>
      <c r="G2" s="35" t="s">
        <v>647</v>
      </c>
      <c r="H2" s="35"/>
      <c r="I2" s="275" t="s">
        <v>648</v>
      </c>
      <c r="J2" s="276"/>
      <c r="K2" s="35" t="s">
        <v>649</v>
      </c>
      <c r="M2" s="275" t="s">
        <v>650</v>
      </c>
      <c r="N2" s="277"/>
      <c r="O2" s="35" t="s">
        <v>651</v>
      </c>
    </row>
    <row r="3" customFormat="false" ht="15.75" hidden="false" customHeight="false" outlineLevel="0" collapsed="false">
      <c r="A3" s="269"/>
    </row>
    <row r="4" customFormat="false" ht="76.5" hidden="false" customHeight="true" outlineLevel="0" collapsed="false">
      <c r="A4" s="273" t="s">
        <v>652</v>
      </c>
      <c r="B4" s="278"/>
      <c r="C4" s="35" t="s">
        <v>653</v>
      </c>
      <c r="E4" s="275" t="s">
        <v>654</v>
      </c>
      <c r="F4" s="279"/>
      <c r="G4" s="35" t="s">
        <v>655</v>
      </c>
    </row>
    <row r="5" customFormat="false" ht="20.25" hidden="false" customHeight="true" outlineLevel="0" collapsed="false">
      <c r="A5" s="273"/>
      <c r="C5" s="1"/>
    </row>
    <row r="6" customFormat="false" ht="15.75" hidden="false" customHeight="false" outlineLevel="0" collapsed="false">
      <c r="A6" s="269" t="s">
        <v>656</v>
      </c>
      <c r="B6" s="0" t="s">
        <v>657</v>
      </c>
    </row>
    <row r="7" customFormat="false" ht="15.75" hidden="false" customHeight="false" outlineLevel="0" collapsed="false">
      <c r="A7" s="269"/>
    </row>
    <row r="8" customFormat="false" ht="15.75" hidden="false" customHeight="false" outlineLevel="0" collapsed="false">
      <c r="A8" s="269" t="s">
        <v>658</v>
      </c>
      <c r="B8" s="0" t="s">
        <v>659</v>
      </c>
      <c r="C8" s="0" t="s">
        <v>660</v>
      </c>
    </row>
    <row r="9" customFormat="false" ht="15" hidden="false" customHeight="false" outlineLevel="0" collapsed="false">
      <c r="B9" s="0" t="s">
        <v>661</v>
      </c>
      <c r="C9" s="0" t="s">
        <v>662</v>
      </c>
    </row>
    <row r="10" customFormat="false" ht="15" hidden="false" customHeight="false" outlineLevel="0" collapsed="false">
      <c r="B10" s="0" t="s">
        <v>663</v>
      </c>
      <c r="C10" s="0" t="s">
        <v>664</v>
      </c>
    </row>
    <row r="11" customFormat="false" ht="15" hidden="false" customHeight="false" outlineLevel="0" collapsed="false">
      <c r="B11" s="0" t="s">
        <v>665</v>
      </c>
      <c r="C11" s="0" t="s">
        <v>666</v>
      </c>
    </row>
    <row r="13" customFormat="false" ht="90" hidden="false" customHeight="false" outlineLevel="0" collapsed="false">
      <c r="A13" s="280" t="s">
        <v>667</v>
      </c>
      <c r="B13" s="281" t="s">
        <v>668</v>
      </c>
      <c r="C13" s="282" t="s">
        <v>669</v>
      </c>
      <c r="D13" s="282"/>
    </row>
    <row r="14" customFormat="false" ht="60.75" hidden="false" customHeight="true" outlineLevel="0" collapsed="false">
      <c r="B14" s="281" t="s">
        <v>670</v>
      </c>
      <c r="C14" s="282" t="s">
        <v>671</v>
      </c>
      <c r="D14" s="282"/>
      <c r="H14" s="283" t="s">
        <v>672</v>
      </c>
      <c r="I14" s="283"/>
      <c r="J14" s="283"/>
      <c r="K14" s="283"/>
      <c r="L14" s="283"/>
      <c r="M14" s="283"/>
      <c r="N14" s="283"/>
    </row>
    <row r="15" customFormat="false" ht="15" hidden="false" customHeight="false" outlineLevel="0" collapsed="false">
      <c r="B15" s="281"/>
      <c r="C15" s="282"/>
      <c r="D15" s="282"/>
    </row>
    <row r="16" customFormat="false" ht="45.75" hidden="false" customHeight="true" outlineLevel="0" collapsed="false">
      <c r="A16" s="284" t="s">
        <v>673</v>
      </c>
      <c r="B16" s="285" t="s">
        <v>674</v>
      </c>
      <c r="C16" s="285"/>
      <c r="D16" s="285"/>
      <c r="E16" s="285"/>
    </row>
    <row r="18" customFormat="false" ht="15.75" hidden="false" customHeight="false" outlineLevel="0" collapsed="false">
      <c r="A18" s="269" t="s">
        <v>675</v>
      </c>
      <c r="B18" s="0" t="s">
        <v>676</v>
      </c>
    </row>
    <row r="19" customFormat="false" ht="15.75" hidden="false" customHeight="false" outlineLevel="0" collapsed="false">
      <c r="A19" s="269"/>
    </row>
    <row r="20" customFormat="false" ht="78.75" hidden="false" customHeight="true" outlineLevel="0" collapsed="false">
      <c r="A20" s="286" t="s">
        <v>677</v>
      </c>
      <c r="B20" s="287" t="s">
        <v>678</v>
      </c>
      <c r="C20" s="287"/>
      <c r="D20" s="287"/>
      <c r="E20" s="287"/>
      <c r="F20" s="287"/>
      <c r="G20" s="287"/>
      <c r="H20" s="287"/>
    </row>
    <row r="21" customFormat="false" ht="15.75" hidden="false" customHeight="true" outlineLevel="0" collapsed="false">
      <c r="A21" s="286"/>
      <c r="B21" s="288"/>
      <c r="C21" s="288"/>
      <c r="D21" s="288"/>
      <c r="E21" s="288"/>
      <c r="F21" s="288"/>
      <c r="G21" s="288"/>
      <c r="H21" s="288"/>
    </row>
    <row r="22" customFormat="false" ht="122.25" hidden="false" customHeight="true" outlineLevel="0" collapsed="false">
      <c r="A22" s="286" t="s">
        <v>679</v>
      </c>
      <c r="B22" s="287" t="s">
        <v>680</v>
      </c>
      <c r="C22" s="287"/>
      <c r="D22" s="287"/>
      <c r="E22" s="287"/>
      <c r="F22" s="287"/>
      <c r="G22" s="287"/>
      <c r="H22" s="287"/>
    </row>
    <row r="24" customFormat="false" ht="31.5" hidden="false" customHeight="false" outlineLevel="0" collapsed="false">
      <c r="A24" s="273" t="s">
        <v>681</v>
      </c>
      <c r="B24" s="0" t="s">
        <v>682</v>
      </c>
    </row>
    <row r="26" customFormat="false" ht="63" hidden="false" customHeight="true" outlineLevel="0" collapsed="false">
      <c r="A26" s="280" t="s">
        <v>683</v>
      </c>
      <c r="B26" s="287" t="s">
        <v>684</v>
      </c>
      <c r="C26" s="287"/>
      <c r="D26" s="287"/>
      <c r="E26" s="287"/>
      <c r="F26" s="287" t="s">
        <v>685</v>
      </c>
      <c r="G26" s="287"/>
      <c r="H26" s="287"/>
      <c r="I26" s="287"/>
      <c r="J26" s="287"/>
      <c r="K26" s="287"/>
    </row>
    <row r="28" customFormat="false" ht="120.75" hidden="false" customHeight="true" outlineLevel="0" collapsed="false">
      <c r="A28" s="289" t="s">
        <v>686</v>
      </c>
      <c r="B28" s="287" t="s">
        <v>687</v>
      </c>
      <c r="C28" s="287"/>
      <c r="D28" s="287" t="s">
        <v>688</v>
      </c>
      <c r="E28" s="287"/>
      <c r="F28" s="287"/>
      <c r="G28" s="287"/>
    </row>
    <row r="30" customFormat="false" ht="15.75" hidden="false" customHeight="false" outlineLevel="0" collapsed="false">
      <c r="A30" s="269" t="s">
        <v>689</v>
      </c>
      <c r="B30" s="0" t="s">
        <v>690</v>
      </c>
    </row>
    <row r="32" customFormat="false" ht="15.75" hidden="false" customHeight="false" outlineLevel="0" collapsed="false">
      <c r="A32" s="269" t="s">
        <v>691</v>
      </c>
      <c r="B32" s="0" t="s">
        <v>692</v>
      </c>
      <c r="E32" s="0" t="s">
        <v>693</v>
      </c>
    </row>
    <row r="33" customFormat="false" ht="15" hidden="false" customHeight="false" outlineLevel="0" collapsed="false">
      <c r="E33" s="0" t="s">
        <v>694</v>
      </c>
    </row>
    <row r="34" customFormat="false" ht="15" hidden="false" customHeight="false" outlineLevel="0" collapsed="false">
      <c r="E34" s="0" t="s">
        <v>695</v>
      </c>
    </row>
    <row r="35" customFormat="false" ht="15" hidden="false" customHeight="false" outlineLevel="0" collapsed="false">
      <c r="E35" s="0" t="s">
        <v>696</v>
      </c>
    </row>
  </sheetData>
  <mergeCells count="8">
    <mergeCell ref="H14:N14"/>
    <mergeCell ref="B16:E16"/>
    <mergeCell ref="B20:H20"/>
    <mergeCell ref="B22:H22"/>
    <mergeCell ref="B26:E26"/>
    <mergeCell ref="F26:K26"/>
    <mergeCell ref="B28:C28"/>
    <mergeCell ref="D28:G28"/>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397</TotalTime>
  <Application>LibreOffice/5.2.7.2$Linux_X86_64 LibreOffice_project/20m0$Build-2</Application>
  <Company>DfT</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2017-04-07T09:25:27Z</dcterms:created>
  <dc:creator>Michelle Jennings</dc:creator>
  <dc:description/>
  <dc:language>en-GB</dc:language>
  <cp:lastModifiedBy/>
  <cp:lastPrinted>2017-05-18T15:06:43Z</cp:lastPrinted>
  <dcterms:modified xsi:type="dcterms:W3CDTF">2017-08-16T10:45:01Z</dcterms:modified>
  <cp:revision>21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WorkbookGuid">
    <vt:lpwstr>e871181a-05b3-4141-961e-3e741c0867fb</vt:lpwstr>
  </property>
</Properties>
</file>