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AFP\PPDall\PPM COE\005 Portfolio Management\003 Portfolio Reporting\0006 2017-18\Q3 populated templates\"/>
    </mc:Choice>
  </mc:AlternateContent>
  <workbookProtection workbookPassword="99CA" lockStructure="1"/>
  <bookViews>
    <workbookView xWindow="0" yWindow="0" windowWidth="16380" windowHeight="8190" tabRatio="885"/>
  </bookViews>
  <sheets>
    <sheet name="Summary" sheetId="1" r:id="rId1"/>
    <sheet name="Finance &amp; Benefits" sheetId="2" r:id="rId2"/>
    <sheet name="Resource" sheetId="3" r:id="rId3"/>
    <sheet name="Approval &amp; Project milestones" sheetId="4" r:id="rId4"/>
    <sheet name="Assurance Planning" sheetId="5" r:id="rId5"/>
    <sheet name="Dropdown" sheetId="6" state="hidden" r:id="rId6"/>
    <sheet name="GMPP" sheetId="7" state="hidden" r:id="rId7"/>
    <sheet name="VERSION" sheetId="8" state="hidden" r:id="rId8"/>
    <sheet name="DESIGN" sheetId="9" state="hidden" r:id="rId9"/>
  </sheets>
  <externalReferences>
    <externalReference r:id="rId10"/>
  </externalReferences>
  <definedNames>
    <definedName name="_xlnm._FilterDatabase" localSheetId="0" hidden="1">Summary!$A$12:$G$24</definedName>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<sst xmlns="http://schemas.openxmlformats.org/spreadsheetml/2006/main" count="1129" uniqueCount="702">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</sst>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8">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2">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17"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0" fontId="17" fillId="6" borderId="1" xfId="0" applyFont="1" applyFill="1" applyBorder="1" applyAlignment="1">
      <alignment vertical="top"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7"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5" fillId="14" borderId="3" xfId="0" applyFont="1" applyFill="1" applyBorder="1" applyAlignment="1">
      <alignment horizontal="center" wrapText="1"/>
    </xf>
    <xf numFmtId="0" fontId="5" fillId="14" borderId="4" xfId="0" applyFont="1" applyFill="1" applyBorder="1" applyAlignment="1">
      <alignment horizontal="center" wrapText="1"/>
    </xf>
    <xf numFmtId="0" fontId="5" fillId="14" borderId="2" xfId="0" applyFont="1" applyFill="1" applyBorder="1" applyAlignment="1">
      <alignment horizont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 val="Dropdown"/>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55" zoomScaleNormal="62" zoomScaleSheetLayoutView="55" zoomScalePageLayoutView="68" workbookViewId="0">
      <selection activeCell="H23" sqref="H23"/>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48" t="s">
        <v>0</v>
      </c>
      <c r="B1" s="248"/>
      <c r="C1" s="248"/>
      <c r="D1" s="248"/>
      <c r="E1" s="248"/>
      <c r="F1" s="248"/>
      <c r="G1" s="248"/>
      <c r="H1" s="248"/>
      <c r="I1" s="2" t="s">
        <v>1</v>
      </c>
      <c r="J1" s="3"/>
      <c r="K1" s="3"/>
      <c r="L1" s="4"/>
    </row>
    <row r="2" spans="1:12" ht="28.5" customHeight="1" x14ac:dyDescent="0.3">
      <c r="A2" s="249" t="s">
        <v>2</v>
      </c>
      <c r="B2" s="249"/>
      <c r="C2" s="249"/>
      <c r="D2" s="249"/>
      <c r="E2" s="249"/>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50"/>
      <c r="C5" s="250"/>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51"/>
      <c r="C8" s="251"/>
      <c r="D8" s="8"/>
      <c r="E8" s="8"/>
      <c r="F8" s="238" t="s">
        <v>13</v>
      </c>
      <c r="G8" s="21" t="s">
        <v>14</v>
      </c>
      <c r="H8" s="251"/>
      <c r="I8" s="251"/>
      <c r="J8" s="8"/>
      <c r="K8" s="8"/>
      <c r="L8" s="3"/>
    </row>
    <row r="9" spans="1:12" s="17" customFormat="1" ht="15.75" x14ac:dyDescent="0.25">
      <c r="A9" s="11" t="s">
        <v>15</v>
      </c>
      <c r="B9" s="251"/>
      <c r="C9" s="251"/>
      <c r="D9" s="8"/>
      <c r="E9" s="8"/>
      <c r="F9" s="238"/>
      <c r="G9" s="21" t="s">
        <v>16</v>
      </c>
      <c r="H9" s="251"/>
      <c r="I9" s="251"/>
      <c r="J9" s="8"/>
      <c r="K9" s="8"/>
      <c r="L9" s="3"/>
    </row>
    <row r="10" spans="1:12" s="17" customFormat="1" ht="15.75" x14ac:dyDescent="0.25">
      <c r="A10" s="11" t="s">
        <v>17</v>
      </c>
      <c r="B10" s="251"/>
      <c r="C10" s="251"/>
      <c r="D10" s="8"/>
      <c r="E10" s="8"/>
      <c r="F10" s="238"/>
      <c r="G10" s="21" t="s">
        <v>18</v>
      </c>
      <c r="H10" s="251"/>
      <c r="I10" s="251"/>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45" t="s">
        <v>670</v>
      </c>
      <c r="B12" s="11" t="s">
        <v>14</v>
      </c>
      <c r="C12" s="19"/>
      <c r="D12" s="8"/>
      <c r="E12" s="8"/>
      <c r="F12" s="238" t="s">
        <v>19</v>
      </c>
      <c r="G12" s="11" t="s">
        <v>14</v>
      </c>
      <c r="H12" s="22"/>
      <c r="I12" s="238" t="s">
        <v>20</v>
      </c>
      <c r="J12" s="246"/>
      <c r="K12" s="246"/>
      <c r="L12" s="3"/>
    </row>
    <row r="13" spans="1:12" s="17" customFormat="1" ht="30.2" customHeight="1" x14ac:dyDescent="0.2">
      <c r="A13" s="245"/>
      <c r="B13" s="11" t="s">
        <v>21</v>
      </c>
      <c r="C13" s="19"/>
      <c r="D13" s="8"/>
      <c r="E13" s="8"/>
      <c r="F13" s="238"/>
      <c r="G13" s="11" t="s">
        <v>21</v>
      </c>
      <c r="H13" s="22"/>
      <c r="I13" s="238"/>
      <c r="J13" s="246"/>
      <c r="K13" s="246"/>
      <c r="L13" s="3"/>
    </row>
    <row r="14" spans="1:12" s="17" customFormat="1" ht="30.2" customHeight="1" x14ac:dyDescent="0.2">
      <c r="A14" s="245"/>
      <c r="B14" s="11" t="s">
        <v>18</v>
      </c>
      <c r="C14" s="19"/>
      <c r="D14" s="8"/>
      <c r="E14" s="8"/>
      <c r="F14" s="238"/>
      <c r="G14" s="11" t="s">
        <v>18</v>
      </c>
      <c r="H14" s="22"/>
      <c r="I14" s="8"/>
      <c r="J14" s="8"/>
      <c r="K14" s="8"/>
      <c r="L14" s="3"/>
    </row>
    <row r="15" spans="1:12" s="17" customFormat="1" ht="30.2" customHeight="1" x14ac:dyDescent="0.2">
      <c r="A15" s="245"/>
      <c r="B15" s="11" t="s">
        <v>22</v>
      </c>
      <c r="C15" s="23"/>
      <c r="D15" s="8"/>
      <c r="E15" s="8"/>
      <c r="F15" s="238"/>
      <c r="G15" s="11" t="s">
        <v>23</v>
      </c>
      <c r="H15" s="23"/>
      <c r="I15" s="8"/>
      <c r="J15" s="8"/>
      <c r="K15" s="8"/>
      <c r="L15" s="3"/>
    </row>
    <row r="16" spans="1:12" s="17" customFormat="1" ht="30.2" customHeight="1" x14ac:dyDescent="0.2">
      <c r="A16" s="245"/>
      <c r="B16" s="222" t="s">
        <v>671</v>
      </c>
      <c r="C16" s="23"/>
      <c r="D16" s="8"/>
      <c r="E16" s="8"/>
      <c r="F16" s="238"/>
      <c r="G16" s="11" t="s">
        <v>24</v>
      </c>
      <c r="H16" s="23"/>
      <c r="I16" s="8"/>
      <c r="J16" s="8"/>
      <c r="K16" s="8"/>
      <c r="L16" s="3"/>
    </row>
    <row r="17" spans="1:12" s="17" customFormat="1" ht="30.2" customHeight="1" x14ac:dyDescent="0.2">
      <c r="A17" s="245"/>
      <c r="B17" s="11" t="s">
        <v>25</v>
      </c>
      <c r="C17" s="23"/>
      <c r="D17" s="8"/>
      <c r="E17" s="8"/>
      <c r="F17" s="238"/>
      <c r="G17" s="11" t="s">
        <v>26</v>
      </c>
      <c r="H17" s="23"/>
      <c r="I17" s="24"/>
      <c r="J17" s="8"/>
      <c r="K17" s="8"/>
      <c r="L17" s="3"/>
    </row>
    <row r="18" spans="1:12" s="17" customFormat="1" ht="30.2" customHeight="1" x14ac:dyDescent="0.2">
      <c r="A18" s="245"/>
      <c r="B18" s="222" t="s">
        <v>672</v>
      </c>
      <c r="C18" s="25"/>
      <c r="D18" s="8"/>
      <c r="E18" s="8"/>
      <c r="F18" s="238"/>
      <c r="G18" s="222" t="s">
        <v>674</v>
      </c>
      <c r="H18" s="26"/>
      <c r="I18" s="8"/>
      <c r="J18" s="8"/>
      <c r="K18" s="8"/>
      <c r="L18" s="3"/>
    </row>
    <row r="19" spans="1:12" s="17" customFormat="1" ht="30.2" customHeight="1" x14ac:dyDescent="0.25">
      <c r="A19" s="245"/>
      <c r="B19" s="222" t="s">
        <v>673</v>
      </c>
      <c r="C19" s="19"/>
      <c r="D19" s="247" t="str">
        <f>IF(C19="Yes","Please provide reason for change","")</f>
        <v/>
      </c>
      <c r="E19" s="247"/>
      <c r="F19" s="238"/>
      <c r="G19" s="222" t="s">
        <v>675</v>
      </c>
      <c r="H19" s="22"/>
      <c r="I19" s="27" t="str">
        <f>IF(H19="Yes","Please provide reason for change","")</f>
        <v/>
      </c>
      <c r="J19" s="8"/>
      <c r="K19" s="8"/>
      <c r="L19" s="3"/>
    </row>
    <row r="20" spans="1:12" s="17" customFormat="1" ht="30.2" customHeight="1" x14ac:dyDescent="0.2">
      <c r="A20" s="245"/>
      <c r="B20" s="11" t="s">
        <v>27</v>
      </c>
      <c r="C20" s="19"/>
      <c r="D20" s="247"/>
      <c r="E20" s="247"/>
      <c r="F20" s="238"/>
      <c r="G20" s="11" t="s">
        <v>27</v>
      </c>
      <c r="H20" s="22"/>
      <c r="I20" s="8"/>
      <c r="J20" s="8"/>
      <c r="K20" s="8"/>
      <c r="L20" s="3"/>
    </row>
    <row r="21" spans="1:12" s="17" customFormat="1" ht="30.2" customHeight="1" x14ac:dyDescent="0.25">
      <c r="A21" s="245"/>
      <c r="B21" s="11" t="s">
        <v>28</v>
      </c>
      <c r="C21" s="19"/>
      <c r="D21" s="247"/>
      <c r="E21" s="247"/>
      <c r="F21" s="238"/>
      <c r="G21" s="11" t="s">
        <v>29</v>
      </c>
      <c r="H21" s="22"/>
      <c r="I21" s="27"/>
      <c r="J21" s="8"/>
      <c r="K21" s="8"/>
      <c r="L21" s="3"/>
    </row>
    <row r="22" spans="1:12" s="17" customFormat="1" ht="30.2" customHeight="1" x14ac:dyDescent="0.2">
      <c r="A22" s="245"/>
      <c r="B22" s="11" t="s">
        <v>30</v>
      </c>
      <c r="C22" s="19"/>
      <c r="D22" s="247"/>
      <c r="E22" s="247"/>
      <c r="F22" s="238"/>
      <c r="G22" s="11" t="s">
        <v>31</v>
      </c>
      <c r="H22" s="22"/>
      <c r="I22" s="8"/>
      <c r="J22" s="8"/>
      <c r="K22" s="8"/>
      <c r="L22" s="3"/>
    </row>
    <row r="23" spans="1:12" s="17" customFormat="1" ht="30.2" customHeight="1" x14ac:dyDescent="0.2">
      <c r="A23" s="245"/>
      <c r="B23" s="11" t="s">
        <v>32</v>
      </c>
      <c r="C23" s="19"/>
      <c r="D23" s="247"/>
      <c r="E23" s="247"/>
      <c r="F23" s="238"/>
      <c r="G23" s="11" t="s">
        <v>33</v>
      </c>
      <c r="H23" s="22"/>
      <c r="I23" s="8"/>
      <c r="J23" s="8"/>
      <c r="K23" s="8"/>
      <c r="L23" s="3"/>
    </row>
    <row r="24" spans="1:12" s="17" customFormat="1" ht="30.2" customHeight="1" x14ac:dyDescent="0.2">
      <c r="A24" s="245"/>
      <c r="B24" s="11" t="s">
        <v>34</v>
      </c>
      <c r="C24" s="19"/>
      <c r="D24" s="247"/>
      <c r="E24" s="247"/>
      <c r="F24" s="238"/>
      <c r="G24" s="11" t="s">
        <v>35</v>
      </c>
      <c r="H24" s="22"/>
      <c r="I24" s="8"/>
      <c r="J24" s="8"/>
      <c r="K24" s="8"/>
      <c r="L24" s="3"/>
    </row>
    <row r="25" spans="1:12" s="17" customFormat="1" x14ac:dyDescent="0.2">
      <c r="A25" s="8"/>
      <c r="B25" s="8"/>
      <c r="C25" s="8"/>
      <c r="D25" s="8"/>
      <c r="E25" s="8"/>
      <c r="F25" s="243"/>
      <c r="G25" s="243"/>
      <c r="H25" s="243"/>
      <c r="I25" s="8"/>
      <c r="J25" s="8"/>
      <c r="K25" s="8"/>
      <c r="L25" s="3"/>
    </row>
    <row r="26" spans="1:12" s="17" customFormat="1" ht="135" customHeight="1" x14ac:dyDescent="0.2">
      <c r="A26" s="11" t="s">
        <v>36</v>
      </c>
      <c r="B26" s="244"/>
      <c r="C26" s="244"/>
      <c r="D26" s="8"/>
      <c r="E26" s="8"/>
      <c r="F26" s="20" t="s">
        <v>37</v>
      </c>
      <c r="G26" s="232"/>
      <c r="H26" s="232"/>
      <c r="I26" s="232"/>
      <c r="J26" s="232"/>
      <c r="K26" s="28"/>
      <c r="L26" s="29"/>
    </row>
    <row r="27" spans="1:12" s="17" customFormat="1" ht="69" customHeight="1" x14ac:dyDescent="0.25">
      <c r="A27" s="8"/>
      <c r="B27" s="237"/>
      <c r="C27" s="237"/>
      <c r="D27" s="8"/>
      <c r="E27" s="8"/>
      <c r="F27" s="20" t="s">
        <v>38</v>
      </c>
      <c r="G27" s="232"/>
      <c r="H27" s="232"/>
      <c r="I27" s="232"/>
      <c r="J27" s="232"/>
      <c r="K27" s="28"/>
      <c r="L27" s="29"/>
    </row>
    <row r="28" spans="1:12" s="17" customFormat="1" ht="15" customHeight="1" x14ac:dyDescent="0.2">
      <c r="A28" s="238" t="s">
        <v>39</v>
      </c>
      <c r="B28" s="242"/>
      <c r="C28" s="242"/>
      <c r="D28" s="8"/>
      <c r="E28" s="8"/>
      <c r="F28" s="13"/>
      <c r="G28" s="13"/>
      <c r="H28" s="13"/>
      <c r="I28" s="13"/>
      <c r="J28" s="13"/>
      <c r="K28" s="13"/>
      <c r="L28" s="3"/>
    </row>
    <row r="29" spans="1:12" s="17" customFormat="1" ht="16.5" customHeight="1" x14ac:dyDescent="0.2">
      <c r="A29" s="238"/>
      <c r="B29" s="242"/>
      <c r="C29" s="242"/>
      <c r="D29" s="8"/>
      <c r="E29" s="8"/>
      <c r="F29" s="238" t="s">
        <v>40</v>
      </c>
      <c r="G29" s="30" t="s">
        <v>41</v>
      </c>
      <c r="H29" s="31"/>
      <c r="I29" s="8"/>
      <c r="J29" s="8"/>
      <c r="K29" s="8"/>
      <c r="L29" s="3"/>
    </row>
    <row r="30" spans="1:12" s="17" customFormat="1" ht="15.75" x14ac:dyDescent="0.2">
      <c r="A30" s="238"/>
      <c r="B30" s="242"/>
      <c r="C30" s="242"/>
      <c r="D30" s="8"/>
      <c r="E30" s="8"/>
      <c r="F30" s="238"/>
      <c r="G30" s="30" t="s">
        <v>42</v>
      </c>
      <c r="H30" s="23"/>
      <c r="I30" s="8"/>
      <c r="J30" s="8"/>
      <c r="K30" s="8"/>
      <c r="L30" s="3"/>
    </row>
    <row r="31" spans="1:12" s="17" customFormat="1" x14ac:dyDescent="0.2">
      <c r="A31" s="238"/>
      <c r="B31" s="242"/>
      <c r="C31" s="242"/>
      <c r="D31" s="8"/>
      <c r="E31" s="8"/>
      <c r="F31" s="8"/>
      <c r="G31" s="8"/>
      <c r="H31" s="8"/>
      <c r="I31" s="8"/>
      <c r="J31" s="8"/>
      <c r="K31" s="8"/>
      <c r="L31" s="3"/>
    </row>
    <row r="32" spans="1:12" s="17" customFormat="1" ht="30.75" customHeight="1" x14ac:dyDescent="0.25">
      <c r="A32" s="8"/>
      <c r="B32" s="237"/>
      <c r="C32" s="237"/>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38" t="s">
        <v>45</v>
      </c>
      <c r="B33" s="232"/>
      <c r="C33" s="232"/>
      <c r="D33" s="16"/>
      <c r="E33" s="8"/>
      <c r="F33" s="11" t="s">
        <v>46</v>
      </c>
      <c r="G33" s="19"/>
      <c r="H33" s="8"/>
      <c r="I33" s="8"/>
      <c r="J33" s="8"/>
      <c r="K33" s="8"/>
      <c r="L33" s="3"/>
    </row>
    <row r="34" spans="1:12" s="17" customFormat="1" ht="63" customHeight="1" x14ac:dyDescent="0.2">
      <c r="A34" s="238"/>
      <c r="B34" s="232"/>
      <c r="C34" s="232"/>
      <c r="D34" s="16"/>
      <c r="E34" s="8"/>
      <c r="F34" s="8"/>
      <c r="G34" s="8"/>
      <c r="H34" s="239"/>
      <c r="I34" s="239"/>
      <c r="J34" s="239"/>
      <c r="K34" s="239"/>
      <c r="L34" s="3"/>
    </row>
    <row r="35" spans="1:12" s="17" customFormat="1" ht="63" customHeight="1" x14ac:dyDescent="0.25">
      <c r="A35" s="238"/>
      <c r="B35" s="232"/>
      <c r="C35" s="232"/>
      <c r="D35" s="16"/>
      <c r="E35" s="8"/>
      <c r="F35" s="32" t="s">
        <v>47</v>
      </c>
      <c r="G35" s="33"/>
      <c r="H35" s="240"/>
      <c r="I35" s="34"/>
      <c r="J35" s="34"/>
      <c r="K35" s="35"/>
      <c r="L35" s="36" t="str">
        <f>IF(AND(OR(G35="increase",G35="decrease"),H35=""),"Please complete as scope change","")</f>
        <v/>
      </c>
    </row>
    <row r="36" spans="1:12" s="17" customFormat="1" ht="63" customHeight="1" x14ac:dyDescent="0.2">
      <c r="A36" s="238"/>
      <c r="B36" s="232"/>
      <c r="C36" s="232"/>
      <c r="D36" s="16"/>
      <c r="E36" s="8"/>
      <c r="F36" s="34"/>
      <c r="G36" s="34"/>
      <c r="H36" s="240"/>
      <c r="I36" s="37"/>
      <c r="J36" s="37"/>
      <c r="K36" s="38"/>
      <c r="L36" s="3"/>
    </row>
    <row r="37" spans="1:12" s="17" customFormat="1" ht="63" customHeight="1" x14ac:dyDescent="0.2">
      <c r="A37" s="238"/>
      <c r="B37" s="232"/>
      <c r="C37" s="232"/>
      <c r="D37" s="16"/>
      <c r="E37" s="8"/>
      <c r="F37" s="34"/>
      <c r="G37" s="34"/>
      <c r="H37" s="240"/>
      <c r="I37" s="37"/>
      <c r="J37" s="37"/>
      <c r="K37" s="38"/>
      <c r="L37" s="3"/>
    </row>
    <row r="38" spans="1:12" s="17" customFormat="1" ht="63" customHeight="1" x14ac:dyDescent="0.2">
      <c r="A38" s="238"/>
      <c r="B38" s="232"/>
      <c r="C38" s="232"/>
      <c r="D38" s="16"/>
      <c r="E38" s="8"/>
      <c r="F38" s="34"/>
      <c r="G38" s="34"/>
      <c r="H38" s="34"/>
      <c r="I38" s="39"/>
      <c r="J38" s="39"/>
      <c r="K38" s="40"/>
      <c r="L38" s="3"/>
    </row>
    <row r="39" spans="1:12" s="17" customFormat="1" ht="63" customHeight="1" x14ac:dyDescent="0.25">
      <c r="A39" s="238"/>
      <c r="B39" s="232"/>
      <c r="C39" s="232"/>
      <c r="D39" s="16"/>
      <c r="E39" s="8"/>
      <c r="F39" s="41" t="s">
        <v>48</v>
      </c>
      <c r="G39" s="42" t="s">
        <v>49</v>
      </c>
      <c r="H39" s="27"/>
      <c r="I39" s="8"/>
      <c r="J39" s="8"/>
      <c r="K39" s="8"/>
      <c r="L39" s="3"/>
    </row>
    <row r="40" spans="1:12" s="17" customFormat="1" ht="63" customHeight="1" x14ac:dyDescent="0.2">
      <c r="A40" s="238"/>
      <c r="B40" s="232"/>
      <c r="C40" s="232"/>
      <c r="D40" s="16"/>
      <c r="E40" s="8"/>
      <c r="F40" s="8"/>
      <c r="G40" s="8"/>
      <c r="H40" s="8"/>
      <c r="I40" s="8"/>
      <c r="J40" s="241" t="s">
        <v>50</v>
      </c>
      <c r="K40" s="241"/>
      <c r="L40" s="3"/>
    </row>
    <row r="41" spans="1:12" s="17" customFormat="1" ht="63" customHeight="1" x14ac:dyDescent="0.2">
      <c r="A41" s="238"/>
      <c r="B41" s="232"/>
      <c r="C41" s="232"/>
      <c r="D41" s="16"/>
      <c r="E41" s="8"/>
      <c r="F41" s="238" t="s">
        <v>51</v>
      </c>
      <c r="G41" s="11" t="s">
        <v>52</v>
      </c>
      <c r="H41" s="236"/>
      <c r="I41" s="236"/>
      <c r="J41" s="235"/>
      <c r="K41" s="235"/>
      <c r="L41" s="29"/>
    </row>
    <row r="42" spans="1:12" s="17" customFormat="1" ht="63" customHeight="1" x14ac:dyDescent="0.2">
      <c r="A42" s="238"/>
      <c r="B42" s="232"/>
      <c r="C42" s="232"/>
      <c r="D42" s="16"/>
      <c r="E42" s="8"/>
      <c r="F42" s="238"/>
      <c r="G42" s="11" t="s">
        <v>53</v>
      </c>
      <c r="H42" s="236"/>
      <c r="I42" s="236"/>
      <c r="J42" s="235"/>
      <c r="K42" s="235"/>
      <c r="L42" s="29"/>
    </row>
    <row r="43" spans="1:12" s="17" customFormat="1" ht="53.25" customHeight="1" x14ac:dyDescent="0.2">
      <c r="A43" s="8"/>
      <c r="B43" s="8"/>
      <c r="C43" s="8"/>
      <c r="D43" s="8"/>
      <c r="E43" s="8"/>
      <c r="F43" s="238"/>
      <c r="G43" s="11" t="s">
        <v>54</v>
      </c>
      <c r="H43" s="236"/>
      <c r="I43" s="236"/>
      <c r="J43" s="235"/>
      <c r="K43" s="235"/>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31" t="s">
        <v>56</v>
      </c>
      <c r="B47" s="231"/>
      <c r="C47" s="232"/>
      <c r="D47" s="232"/>
      <c r="E47" s="232"/>
      <c r="F47" s="232"/>
      <c r="G47" s="232"/>
      <c r="H47" s="232"/>
      <c r="I47" s="232"/>
      <c r="J47" s="232"/>
      <c r="K47" s="232"/>
      <c r="L47" s="3"/>
    </row>
    <row r="48" spans="1:12" s="17" customFormat="1" x14ac:dyDescent="0.2">
      <c r="A48" s="233"/>
      <c r="B48" s="233"/>
      <c r="C48" s="234" t="str">
        <f>IF(B49="","Please ensure you provide date of SRO sign off","")</f>
        <v>Please ensure you provide date of SRO sign off</v>
      </c>
      <c r="D48" s="234"/>
      <c r="E48" s="234"/>
      <c r="F48" s="234"/>
      <c r="G48" s="234"/>
      <c r="H48" s="234"/>
      <c r="I48" s="234"/>
      <c r="J48" s="234"/>
      <c r="K48" s="234"/>
      <c r="L48" s="3"/>
    </row>
    <row r="49" spans="1:12" s="17" customFormat="1" ht="15.75" x14ac:dyDescent="0.25">
      <c r="A49" s="14" t="s">
        <v>57</v>
      </c>
      <c r="B49" s="23"/>
      <c r="C49" s="234"/>
      <c r="D49" s="234"/>
      <c r="E49" s="234"/>
      <c r="F49" s="234"/>
      <c r="G49" s="234"/>
      <c r="H49" s="234"/>
      <c r="I49" s="234"/>
      <c r="J49" s="234"/>
      <c r="K49" s="234"/>
      <c r="L49" s="3"/>
    </row>
  </sheetData>
  <sheetProtection password="99CA" sheet="1" objects="1" scenarios="1"/>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H21 C21 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D3:D7 D25</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 type="list" allowBlank="1" showInputMessage="1" showErrorMessage="1">
          <x14:formula1>
            <xm:f>Dropdown!$H$2:$H$8</xm:f>
          </x14:formula1>
          <xm:sqref>D33:D42</xm:sqref>
        </x14:dataValidation>
        <x14:dataValidation type="list" allowBlank="1" showInputMessage="1" showErrorMessage="1">
          <x14:formula1>
            <xm:f>Dropdown!$AI$2:$AI$16</xm:f>
          </x14:formula1>
          <xm:sqref>B9</xm:sqref>
        </x14:dataValidation>
        <x14:dataValidation type="list" allowBlank="1" showInputMessage="1" showErrorMessage="1">
          <x14:formula1>
            <xm:f>Dropdown!$AJ$2:$AJ$10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F191" sqref="F191"/>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66" t="s">
        <v>0</v>
      </c>
      <c r="B1" s="266"/>
      <c r="C1" s="266"/>
      <c r="D1" s="266"/>
      <c r="E1" s="266"/>
      <c r="F1" s="266"/>
      <c r="G1" s="266"/>
      <c r="H1" s="266"/>
      <c r="I1" s="43" t="s">
        <v>58</v>
      </c>
    </row>
    <row r="2" spans="1:11" ht="39" customHeight="1" x14ac:dyDescent="0.3">
      <c r="A2" s="267" t="s">
        <v>2</v>
      </c>
      <c r="B2" s="267"/>
      <c r="C2" s="267"/>
      <c r="D2" s="267"/>
      <c r="E2" s="267"/>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68" t="s">
        <v>61</v>
      </c>
      <c r="B6" s="268"/>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38" t="s">
        <v>62</v>
      </c>
      <c r="B9" s="32" t="s">
        <v>63</v>
      </c>
      <c r="C9" s="16"/>
      <c r="D9" s="14" t="s">
        <v>64</v>
      </c>
      <c r="E9" s="16"/>
      <c r="F9" s="8"/>
      <c r="G9" s="8"/>
      <c r="H9" s="8"/>
      <c r="I9" s="8"/>
    </row>
    <row r="10" spans="1:11" s="17" customFormat="1" ht="32.25" thickBot="1" x14ac:dyDescent="0.3">
      <c r="A10" s="238"/>
      <c r="B10" s="32" t="s">
        <v>65</v>
      </c>
      <c r="C10" s="16"/>
      <c r="D10" s="14" t="s">
        <v>66</v>
      </c>
      <c r="E10" s="16"/>
      <c r="F10" s="269"/>
      <c r="G10" s="269"/>
      <c r="H10" s="269"/>
      <c r="I10" s="269"/>
    </row>
    <row r="11" spans="1:11" s="17" customFormat="1" ht="31.5" x14ac:dyDescent="0.25">
      <c r="A11" s="238"/>
      <c r="B11" s="32" t="s">
        <v>67</v>
      </c>
      <c r="C11" s="23"/>
      <c r="D11" s="14" t="s">
        <v>68</v>
      </c>
      <c r="E11" s="23"/>
      <c r="F11" s="8"/>
      <c r="G11" s="8"/>
      <c r="H11" s="8"/>
      <c r="I11" s="8"/>
    </row>
    <row r="12" spans="1:11" s="17" customFormat="1" ht="31.5" x14ac:dyDescent="0.2">
      <c r="A12" s="238"/>
      <c r="B12" s="32" t="s">
        <v>69</v>
      </c>
      <c r="C12" s="16"/>
      <c r="D12" s="269"/>
      <c r="E12" s="269"/>
      <c r="F12" s="269"/>
      <c r="G12" s="8"/>
      <c r="H12" s="8"/>
      <c r="I12" s="8"/>
    </row>
    <row r="13" spans="1:11" s="17" customFormat="1" ht="32.25" customHeight="1" x14ac:dyDescent="0.2">
      <c r="A13" s="238"/>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70" t="s">
        <v>71</v>
      </c>
      <c r="B15" s="270"/>
      <c r="C15" s="270"/>
      <c r="D15" s="45"/>
      <c r="E15" s="271" t="s">
        <v>72</v>
      </c>
      <c r="F15" s="271"/>
      <c r="G15" s="271"/>
      <c r="H15" s="271"/>
      <c r="I15" s="271"/>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46"/>
      <c r="C19" s="272" t="str">
        <f>IF(C18="","Please specify if financial figures are real or nominal",IF(C18="Nominal","As Nominal please leave blank",IF(C18="Real","As Real please complete using dropdown","")))</f>
        <v>Please specify if financial figures are real or nominal</v>
      </c>
      <c r="D19" s="273"/>
      <c r="E19" s="8"/>
      <c r="F19" s="8"/>
      <c r="G19" s="8"/>
      <c r="H19" s="8"/>
      <c r="I19" s="8"/>
    </row>
    <row r="20" spans="1:9" s="17" customFormat="1" ht="32.25" customHeight="1" thickBot="1" x14ac:dyDescent="0.25">
      <c r="A20" s="32" t="s">
        <v>78</v>
      </c>
      <c r="B20" s="48"/>
      <c r="C20" s="272" t="str">
        <f>IF(C18="","Please specificy if financial figures are real or nominal",IF(C18="Nominal","As Nominal please leave blank",IF(C18="Real","As Real please complete using dropdown","")))</f>
        <v>Please specificy if financial figures are real or nominal</v>
      </c>
      <c r="D20" s="273"/>
      <c r="E20" s="8"/>
      <c r="F20" s="8"/>
      <c r="G20" s="8"/>
      <c r="H20" s="8"/>
      <c r="I20" s="8"/>
    </row>
    <row r="21" spans="1:9" s="17" customFormat="1" ht="32.25" customHeight="1" thickBot="1" x14ac:dyDescent="0.25">
      <c r="A21" s="32" t="s">
        <v>79</v>
      </c>
      <c r="B21" s="23"/>
      <c r="C21" s="221" t="s">
        <v>669</v>
      </c>
      <c r="D21" s="232"/>
      <c r="E21" s="232"/>
      <c r="F21" s="232"/>
      <c r="G21" s="232"/>
      <c r="H21" s="232"/>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2"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2"/>
      <c r="E23" s="262"/>
      <c r="F23" s="262"/>
      <c r="G23" s="8"/>
      <c r="H23" s="8"/>
      <c r="I23" s="8"/>
    </row>
    <row r="24" spans="1:9" ht="6.75" customHeight="1" x14ac:dyDescent="0.2">
      <c r="A24" s="8"/>
      <c r="B24" s="8"/>
      <c r="C24" s="8"/>
      <c r="D24" s="8"/>
      <c r="E24" s="8"/>
      <c r="F24" s="8"/>
      <c r="G24" s="8"/>
      <c r="H24" s="8"/>
      <c r="I24" s="8"/>
    </row>
    <row r="25" spans="1:9" ht="32.25" customHeight="1" thickBot="1" x14ac:dyDescent="0.3">
      <c r="A25" s="263" t="s">
        <v>82</v>
      </c>
      <c r="B25" s="263"/>
      <c r="C25" s="8"/>
      <c r="D25" s="8"/>
      <c r="E25" s="8"/>
      <c r="F25" s="8"/>
      <c r="G25" s="8"/>
      <c r="H25" s="264" t="s">
        <v>83</v>
      </c>
      <c r="I25" s="264"/>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hidden="1" customHeight="1" thickBot="1" x14ac:dyDescent="0.25">
      <c r="A27" s="256" t="s">
        <v>92</v>
      </c>
      <c r="B27" s="55" t="s">
        <v>93</v>
      </c>
      <c r="C27" s="56"/>
      <c r="D27" s="56"/>
      <c r="E27" s="56"/>
      <c r="F27" s="57">
        <f t="shared" ref="F27:F36" si="0">SUM(C27:E27)</f>
        <v>0</v>
      </c>
      <c r="G27" s="8"/>
      <c r="H27" s="58"/>
      <c r="I27" s="58"/>
    </row>
    <row r="28" spans="1:9" s="17" customFormat="1" ht="15.75" hidden="1" customHeight="1" thickBot="1" x14ac:dyDescent="0.25">
      <c r="A28" s="256"/>
      <c r="B28" s="55" t="s">
        <v>94</v>
      </c>
      <c r="C28" s="56"/>
      <c r="D28" s="56"/>
      <c r="E28" s="56"/>
      <c r="F28" s="57">
        <f t="shared" si="0"/>
        <v>0</v>
      </c>
      <c r="G28" s="8"/>
      <c r="H28" s="59"/>
      <c r="I28" s="59"/>
    </row>
    <row r="29" spans="1:9" s="17" customFormat="1" ht="15.75" hidden="1" customHeight="1" thickBot="1" x14ac:dyDescent="0.25">
      <c r="A29" s="256" t="s">
        <v>95</v>
      </c>
      <c r="B29" s="55" t="s">
        <v>93</v>
      </c>
      <c r="C29" s="56"/>
      <c r="D29" s="56"/>
      <c r="E29" s="56"/>
      <c r="F29" s="57">
        <f t="shared" si="0"/>
        <v>0</v>
      </c>
      <c r="G29" s="8"/>
      <c r="H29" s="60"/>
      <c r="I29" s="60"/>
    </row>
    <row r="30" spans="1:9" s="17" customFormat="1" ht="15.75" hidden="1" customHeight="1" thickBot="1" x14ac:dyDescent="0.25">
      <c r="A30" s="256"/>
      <c r="B30" s="55" t="s">
        <v>94</v>
      </c>
      <c r="C30" s="56"/>
      <c r="D30" s="56"/>
      <c r="E30" s="56"/>
      <c r="F30" s="57">
        <f t="shared" si="0"/>
        <v>0</v>
      </c>
      <c r="G30" s="8"/>
      <c r="H30" s="59"/>
      <c r="I30" s="59"/>
    </row>
    <row r="31" spans="1:9" s="17" customFormat="1" ht="15.75" hidden="1" customHeight="1" thickBot="1" x14ac:dyDescent="0.25">
      <c r="A31" s="256" t="s">
        <v>96</v>
      </c>
      <c r="B31" s="55" t="s">
        <v>93</v>
      </c>
      <c r="C31" s="56"/>
      <c r="D31" s="56"/>
      <c r="E31" s="56"/>
      <c r="F31" s="57">
        <f t="shared" si="0"/>
        <v>0</v>
      </c>
      <c r="G31" s="8"/>
      <c r="H31" s="59"/>
      <c r="I31" s="59"/>
    </row>
    <row r="32" spans="1:9" s="17" customFormat="1" ht="15.75" hidden="1" customHeight="1" thickBot="1" x14ac:dyDescent="0.25">
      <c r="A32" s="256"/>
      <c r="B32" s="55" t="s">
        <v>94</v>
      </c>
      <c r="C32" s="56"/>
      <c r="D32" s="56"/>
      <c r="E32" s="56"/>
      <c r="F32" s="57">
        <f t="shared" si="0"/>
        <v>0</v>
      </c>
      <c r="G32" s="8"/>
      <c r="H32" s="59"/>
      <c r="I32" s="59"/>
    </row>
    <row r="33" spans="1:9" s="17" customFormat="1" ht="15.75" hidden="1" customHeight="1" thickBot="1" x14ac:dyDescent="0.25">
      <c r="A33" s="256" t="s">
        <v>97</v>
      </c>
      <c r="B33" s="55" t="s">
        <v>93</v>
      </c>
      <c r="C33" s="56"/>
      <c r="D33" s="56"/>
      <c r="E33" s="56"/>
      <c r="F33" s="57">
        <f t="shared" si="0"/>
        <v>0</v>
      </c>
      <c r="G33" s="8"/>
      <c r="H33" s="59"/>
      <c r="I33" s="59"/>
    </row>
    <row r="34" spans="1:9" s="17" customFormat="1" ht="15.75" hidden="1" customHeight="1" thickBot="1" x14ac:dyDescent="0.25">
      <c r="A34" s="256"/>
      <c r="B34" s="55" t="s">
        <v>94</v>
      </c>
      <c r="C34" s="56"/>
      <c r="D34" s="56"/>
      <c r="E34" s="56"/>
      <c r="F34" s="57">
        <f t="shared" si="0"/>
        <v>0</v>
      </c>
      <c r="G34" s="8"/>
      <c r="H34" s="59"/>
      <c r="I34" s="59"/>
    </row>
    <row r="35" spans="1:9" s="17" customFormat="1" ht="14.25" customHeight="1" thickBot="1" x14ac:dyDescent="0.25">
      <c r="A35" s="253" t="s">
        <v>98</v>
      </c>
      <c r="B35" s="55" t="s">
        <v>99</v>
      </c>
      <c r="C35" s="56"/>
      <c r="D35" s="61"/>
      <c r="E35" s="61"/>
      <c r="F35" s="57">
        <f t="shared" si="0"/>
        <v>0</v>
      </c>
      <c r="G35" s="8"/>
      <c r="H35" s="59"/>
      <c r="I35" s="59"/>
    </row>
    <row r="36" spans="1:9" s="17" customFormat="1" ht="15.75" thickBot="1" x14ac:dyDescent="0.25">
      <c r="A36" s="253"/>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53" t="s">
        <v>102</v>
      </c>
      <c r="B38" s="55" t="s">
        <v>99</v>
      </c>
      <c r="C38" s="66"/>
      <c r="D38" s="61"/>
      <c r="E38" s="61"/>
      <c r="F38" s="210">
        <f t="shared" ref="F38:F73" si="1">SUM(C38:E38)</f>
        <v>0</v>
      </c>
      <c r="G38" s="265" t="s">
        <v>103</v>
      </c>
      <c r="H38" s="67"/>
      <c r="I38" s="68"/>
    </row>
    <row r="39" spans="1:9" s="17" customFormat="1" ht="15.75" customHeight="1" thickBot="1" x14ac:dyDescent="0.25">
      <c r="A39" s="253"/>
      <c r="B39" s="55" t="s">
        <v>104</v>
      </c>
      <c r="C39" s="69"/>
      <c r="D39" s="56"/>
      <c r="E39" s="56"/>
      <c r="F39" s="211">
        <f t="shared" si="1"/>
        <v>0</v>
      </c>
      <c r="G39" s="265"/>
      <c r="H39" s="71"/>
      <c r="I39" s="62"/>
    </row>
    <row r="40" spans="1:9" s="17" customFormat="1" ht="15" hidden="1" customHeight="1" x14ac:dyDescent="0.2">
      <c r="A40" s="253" t="s">
        <v>105</v>
      </c>
      <c r="B40" s="55" t="s">
        <v>99</v>
      </c>
      <c r="C40" s="69"/>
      <c r="D40" s="56"/>
      <c r="E40" s="56"/>
      <c r="F40" s="212">
        <f t="shared" si="1"/>
        <v>0</v>
      </c>
      <c r="G40" s="265"/>
      <c r="H40" s="71"/>
      <c r="I40" s="62"/>
    </row>
    <row r="41" spans="1:9" s="17" customFormat="1" ht="15.75" hidden="1" thickBot="1" x14ac:dyDescent="0.25">
      <c r="A41" s="253"/>
      <c r="B41" s="55" t="s">
        <v>104</v>
      </c>
      <c r="C41" s="69"/>
      <c r="D41" s="56"/>
      <c r="E41" s="56"/>
      <c r="F41" s="212">
        <f t="shared" si="1"/>
        <v>0</v>
      </c>
      <c r="G41" s="265"/>
      <c r="H41" s="71"/>
      <c r="I41" s="62"/>
    </row>
    <row r="42" spans="1:9" s="17" customFormat="1" ht="15.75" customHeight="1" thickBot="1" x14ac:dyDescent="0.25">
      <c r="A42" s="253" t="s">
        <v>106</v>
      </c>
      <c r="B42" s="55" t="s">
        <v>99</v>
      </c>
      <c r="C42" s="69"/>
      <c r="D42" s="56"/>
      <c r="E42" s="56"/>
      <c r="F42" s="212">
        <f t="shared" si="1"/>
        <v>0</v>
      </c>
      <c r="G42" s="265"/>
      <c r="H42" s="71"/>
      <c r="I42" s="62"/>
    </row>
    <row r="43" spans="1:9" s="17" customFormat="1" ht="15.75" thickBot="1" x14ac:dyDescent="0.25">
      <c r="A43" s="253"/>
      <c r="B43" s="55" t="s">
        <v>104</v>
      </c>
      <c r="C43" s="69"/>
      <c r="D43" s="56"/>
      <c r="E43" s="56"/>
      <c r="F43" s="212">
        <f t="shared" si="1"/>
        <v>0</v>
      </c>
      <c r="G43" s="265"/>
      <c r="H43" s="71"/>
      <c r="I43" s="62"/>
    </row>
    <row r="44" spans="1:9" s="17" customFormat="1" ht="15" hidden="1" customHeight="1" x14ac:dyDescent="0.2">
      <c r="A44" s="253" t="s">
        <v>107</v>
      </c>
      <c r="B44" s="55" t="s">
        <v>99</v>
      </c>
      <c r="C44" s="69"/>
      <c r="D44" s="56"/>
      <c r="E44" s="56"/>
      <c r="F44" s="212">
        <f t="shared" si="1"/>
        <v>0</v>
      </c>
      <c r="G44" s="265"/>
      <c r="H44" s="71"/>
      <c r="I44" s="62"/>
    </row>
    <row r="45" spans="1:9" s="17" customFormat="1" ht="15.75" hidden="1" thickBot="1" x14ac:dyDescent="0.25">
      <c r="A45" s="253"/>
      <c r="B45" s="55" t="s">
        <v>104</v>
      </c>
      <c r="C45" s="69"/>
      <c r="D45" s="56"/>
      <c r="E45" s="56"/>
      <c r="F45" s="212">
        <f t="shared" si="1"/>
        <v>0</v>
      </c>
      <c r="G45" s="265"/>
      <c r="H45" s="71"/>
      <c r="I45" s="62"/>
    </row>
    <row r="46" spans="1:9" s="17" customFormat="1" ht="15" customHeight="1" thickBot="1" x14ac:dyDescent="0.25">
      <c r="A46" s="253" t="s">
        <v>108</v>
      </c>
      <c r="B46" s="55" t="s">
        <v>99</v>
      </c>
      <c r="C46" s="69"/>
      <c r="D46" s="56"/>
      <c r="E46" s="56"/>
      <c r="F46" s="212">
        <f t="shared" si="1"/>
        <v>0</v>
      </c>
      <c r="G46" s="265"/>
      <c r="H46" s="71"/>
      <c r="I46" s="62"/>
    </row>
    <row r="47" spans="1:9" s="17" customFormat="1" ht="15.75" thickBot="1" x14ac:dyDescent="0.25">
      <c r="A47" s="253"/>
      <c r="B47" s="55" t="s">
        <v>104</v>
      </c>
      <c r="C47" s="72"/>
      <c r="D47" s="73"/>
      <c r="E47" s="73"/>
      <c r="F47" s="213">
        <f t="shared" si="1"/>
        <v>0</v>
      </c>
      <c r="G47" s="265"/>
      <c r="H47" s="74"/>
      <c r="I47" s="75"/>
    </row>
    <row r="48" spans="1:9" s="17" customFormat="1" ht="15" hidden="1" customHeight="1" thickBot="1" x14ac:dyDescent="0.25">
      <c r="A48" s="253" t="s">
        <v>109</v>
      </c>
      <c r="B48" s="76" t="s">
        <v>99</v>
      </c>
      <c r="C48" s="77"/>
      <c r="D48" s="78"/>
      <c r="E48" s="78"/>
      <c r="F48" s="79">
        <f t="shared" si="1"/>
        <v>0</v>
      </c>
      <c r="G48" s="265"/>
      <c r="H48" s="71"/>
      <c r="I48" s="62"/>
    </row>
    <row r="49" spans="1:9" s="17" customFormat="1" ht="15.75" hidden="1" thickBot="1" x14ac:dyDescent="0.25">
      <c r="A49" s="253"/>
      <c r="B49" s="55" t="s">
        <v>104</v>
      </c>
      <c r="C49" s="88"/>
      <c r="D49" s="88"/>
      <c r="E49" s="88"/>
      <c r="F49" s="214">
        <f t="shared" si="1"/>
        <v>0</v>
      </c>
      <c r="G49" s="265"/>
      <c r="H49" s="71"/>
      <c r="I49" s="62"/>
    </row>
    <row r="50" spans="1:9" s="17" customFormat="1" ht="15" customHeight="1" thickBot="1" x14ac:dyDescent="0.25">
      <c r="A50" s="253" t="s">
        <v>110</v>
      </c>
      <c r="B50" s="76" t="s">
        <v>99</v>
      </c>
      <c r="C50" s="215"/>
      <c r="D50" s="215"/>
      <c r="E50" s="215"/>
      <c r="F50" s="216">
        <f t="shared" si="1"/>
        <v>0</v>
      </c>
      <c r="G50" s="265"/>
      <c r="H50" s="71"/>
      <c r="I50" s="62"/>
    </row>
    <row r="51" spans="1:9" s="17" customFormat="1" ht="15.75" thickBot="1" x14ac:dyDescent="0.25">
      <c r="A51" s="253"/>
      <c r="B51" s="76" t="s">
        <v>104</v>
      </c>
      <c r="C51" s="56"/>
      <c r="D51" s="56"/>
      <c r="E51" s="56"/>
      <c r="F51" s="80">
        <f t="shared" si="1"/>
        <v>0</v>
      </c>
      <c r="G51" s="265"/>
      <c r="H51" s="74"/>
      <c r="I51" s="75"/>
    </row>
    <row r="52" spans="1:9" s="17" customFormat="1" ht="15" hidden="1" customHeight="1" x14ac:dyDescent="0.2">
      <c r="A52" s="253" t="s">
        <v>111</v>
      </c>
      <c r="B52" s="76" t="s">
        <v>99</v>
      </c>
      <c r="C52" s="56"/>
      <c r="D52" s="56"/>
      <c r="E52" s="56"/>
      <c r="F52" s="80">
        <f t="shared" si="1"/>
        <v>0</v>
      </c>
      <c r="G52" s="8"/>
      <c r="H52" s="81"/>
      <c r="I52" s="81"/>
    </row>
    <row r="53" spans="1:9" s="17" customFormat="1" ht="15.75" hidden="1" thickBot="1" x14ac:dyDescent="0.25">
      <c r="A53" s="253"/>
      <c r="B53" s="76" t="s">
        <v>104</v>
      </c>
      <c r="C53" s="56"/>
      <c r="D53" s="56"/>
      <c r="E53" s="56"/>
      <c r="F53" s="80">
        <f t="shared" si="1"/>
        <v>0</v>
      </c>
      <c r="G53" s="8"/>
      <c r="H53" s="217"/>
      <c r="I53" s="217"/>
    </row>
    <row r="54" spans="1:9" ht="15" customHeight="1" thickBot="1" x14ac:dyDescent="0.25">
      <c r="A54" s="253" t="s">
        <v>112</v>
      </c>
      <c r="B54" s="76" t="s">
        <v>99</v>
      </c>
      <c r="C54" s="56"/>
      <c r="D54" s="56"/>
      <c r="E54" s="56"/>
      <c r="F54" s="80">
        <f t="shared" si="1"/>
        <v>0</v>
      </c>
      <c r="G54" s="8"/>
      <c r="H54" s="218"/>
      <c r="I54" s="218"/>
    </row>
    <row r="55" spans="1:9" ht="15.75" thickBot="1" x14ac:dyDescent="0.25">
      <c r="A55" s="253"/>
      <c r="B55" s="76" t="s">
        <v>104</v>
      </c>
      <c r="C55" s="56"/>
      <c r="D55" s="56"/>
      <c r="E55" s="56"/>
      <c r="F55" s="80">
        <f t="shared" si="1"/>
        <v>0</v>
      </c>
      <c r="G55" s="8"/>
      <c r="H55" s="82"/>
      <c r="I55" s="82"/>
    </row>
    <row r="56" spans="1:9" ht="15" hidden="1" customHeight="1" x14ac:dyDescent="0.2">
      <c r="A56" s="253" t="s">
        <v>113</v>
      </c>
      <c r="B56" s="76" t="s">
        <v>99</v>
      </c>
      <c r="C56" s="56"/>
      <c r="D56" s="56"/>
      <c r="E56" s="56"/>
      <c r="F56" s="80">
        <f t="shared" si="1"/>
        <v>0</v>
      </c>
      <c r="G56" s="8"/>
      <c r="H56" s="82"/>
      <c r="I56" s="82"/>
    </row>
    <row r="57" spans="1:9" hidden="1" x14ac:dyDescent="0.2">
      <c r="A57" s="253"/>
      <c r="B57" s="76" t="s">
        <v>104</v>
      </c>
      <c r="C57" s="56"/>
      <c r="D57" s="56"/>
      <c r="E57" s="56"/>
      <c r="F57" s="80">
        <f t="shared" si="1"/>
        <v>0</v>
      </c>
      <c r="G57" s="8"/>
      <c r="H57" s="82"/>
      <c r="I57" s="82"/>
    </row>
    <row r="58" spans="1:9" ht="15" customHeight="1" thickBot="1" x14ac:dyDescent="0.25">
      <c r="A58" s="253" t="s">
        <v>114</v>
      </c>
      <c r="B58" s="76" t="s">
        <v>99</v>
      </c>
      <c r="C58" s="56"/>
      <c r="D58" s="56"/>
      <c r="E58" s="56"/>
      <c r="F58" s="80">
        <f t="shared" si="1"/>
        <v>0</v>
      </c>
      <c r="G58" s="8"/>
      <c r="H58" s="82"/>
      <c r="I58" s="82"/>
    </row>
    <row r="59" spans="1:9" ht="15.75" thickBot="1" x14ac:dyDescent="0.25">
      <c r="A59" s="253"/>
      <c r="B59" s="76" t="s">
        <v>104</v>
      </c>
      <c r="C59" s="56"/>
      <c r="D59" s="56"/>
      <c r="E59" s="56"/>
      <c r="F59" s="57">
        <f t="shared" si="1"/>
        <v>0</v>
      </c>
      <c r="G59" s="8"/>
      <c r="H59" s="82"/>
      <c r="I59" s="82"/>
    </row>
    <row r="60" spans="1:9" ht="15" customHeight="1" x14ac:dyDescent="0.2">
      <c r="A60" s="253" t="s">
        <v>115</v>
      </c>
      <c r="B60" s="76" t="s">
        <v>99</v>
      </c>
      <c r="C60" s="56"/>
      <c r="D60" s="56"/>
      <c r="E60" s="56"/>
      <c r="F60" s="57">
        <f t="shared" si="1"/>
        <v>0</v>
      </c>
      <c r="G60" s="8"/>
      <c r="H60" s="82"/>
      <c r="I60" s="82"/>
    </row>
    <row r="61" spans="1:9" x14ac:dyDescent="0.2">
      <c r="A61" s="253"/>
      <c r="B61" s="76" t="s">
        <v>104</v>
      </c>
      <c r="C61" s="56"/>
      <c r="D61" s="56"/>
      <c r="E61" s="56"/>
      <c r="F61" s="57">
        <f t="shared" si="1"/>
        <v>0</v>
      </c>
      <c r="G61" s="8"/>
      <c r="H61" s="82"/>
      <c r="I61" s="82"/>
    </row>
    <row r="62" spans="1:9" ht="15" customHeight="1" x14ac:dyDescent="0.2">
      <c r="A62" s="253" t="s">
        <v>116</v>
      </c>
      <c r="B62" s="76" t="s">
        <v>99</v>
      </c>
      <c r="C62" s="56"/>
      <c r="D62" s="56"/>
      <c r="E62" s="56"/>
      <c r="F62" s="57">
        <f t="shared" si="1"/>
        <v>0</v>
      </c>
      <c r="G62" s="8"/>
      <c r="H62" s="82"/>
      <c r="I62" s="82"/>
    </row>
    <row r="63" spans="1:9" x14ac:dyDescent="0.2">
      <c r="A63" s="253"/>
      <c r="B63" s="76" t="s">
        <v>104</v>
      </c>
      <c r="C63" s="56"/>
      <c r="D63" s="56"/>
      <c r="E63" s="56"/>
      <c r="F63" s="57">
        <f t="shared" si="1"/>
        <v>0</v>
      </c>
      <c r="G63" s="8"/>
      <c r="H63" s="82"/>
      <c r="I63" s="82"/>
    </row>
    <row r="64" spans="1:9" ht="15" customHeight="1" x14ac:dyDescent="0.2">
      <c r="A64" s="253" t="s">
        <v>117</v>
      </c>
      <c r="B64" s="76" t="s">
        <v>99</v>
      </c>
      <c r="C64" s="56"/>
      <c r="D64" s="56"/>
      <c r="E64" s="56"/>
      <c r="F64" s="57">
        <f t="shared" si="1"/>
        <v>0</v>
      </c>
      <c r="G64" s="8"/>
      <c r="H64" s="82"/>
      <c r="I64" s="82"/>
    </row>
    <row r="65" spans="1:9" x14ac:dyDescent="0.2">
      <c r="A65" s="253"/>
      <c r="B65" s="76" t="s">
        <v>104</v>
      </c>
      <c r="C65" s="56"/>
      <c r="D65" s="56"/>
      <c r="E65" s="56"/>
      <c r="F65" s="57">
        <f t="shared" si="1"/>
        <v>0</v>
      </c>
      <c r="G65" s="8"/>
      <c r="H65" s="82"/>
      <c r="I65" s="82"/>
    </row>
    <row r="66" spans="1:9" ht="15" customHeight="1" x14ac:dyDescent="0.2">
      <c r="A66" s="253" t="s">
        <v>118</v>
      </c>
      <c r="B66" s="76" t="s">
        <v>99</v>
      </c>
      <c r="C66" s="56"/>
      <c r="D66" s="56"/>
      <c r="E66" s="56"/>
      <c r="F66" s="57">
        <f t="shared" si="1"/>
        <v>0</v>
      </c>
      <c r="G66" s="8"/>
      <c r="H66" s="82"/>
      <c r="I66" s="82"/>
    </row>
    <row r="67" spans="1:9" x14ac:dyDescent="0.2">
      <c r="A67" s="253"/>
      <c r="B67" s="76" t="s">
        <v>104</v>
      </c>
      <c r="C67" s="56"/>
      <c r="D67" s="56"/>
      <c r="E67" s="56"/>
      <c r="F67" s="57">
        <f t="shared" si="1"/>
        <v>0</v>
      </c>
      <c r="G67" s="8"/>
      <c r="H67" s="82"/>
      <c r="I67" s="82"/>
    </row>
    <row r="68" spans="1:9" ht="15" customHeight="1" x14ac:dyDescent="0.2">
      <c r="A68" s="253" t="s">
        <v>119</v>
      </c>
      <c r="B68" s="76" t="s">
        <v>99</v>
      </c>
      <c r="C68" s="56"/>
      <c r="D68" s="56"/>
      <c r="E68" s="56"/>
      <c r="F68" s="57">
        <f t="shared" si="1"/>
        <v>0</v>
      </c>
      <c r="G68" s="8"/>
      <c r="H68" s="82"/>
      <c r="I68" s="82"/>
    </row>
    <row r="69" spans="1:9" x14ac:dyDescent="0.2">
      <c r="A69" s="253"/>
      <c r="B69" s="76" t="s">
        <v>104</v>
      </c>
      <c r="C69" s="56"/>
      <c r="D69" s="56"/>
      <c r="E69" s="56"/>
      <c r="F69" s="57">
        <f t="shared" si="1"/>
        <v>0</v>
      </c>
      <c r="G69" s="8"/>
      <c r="H69" s="82"/>
      <c r="I69" s="82"/>
    </row>
    <row r="70" spans="1:9" ht="15" customHeight="1" x14ac:dyDescent="0.2">
      <c r="A70" s="253" t="s">
        <v>120</v>
      </c>
      <c r="B70" s="83" t="s">
        <v>99</v>
      </c>
      <c r="C70" s="56"/>
      <c r="D70" s="56"/>
      <c r="E70" s="56"/>
      <c r="F70" s="57">
        <f t="shared" si="1"/>
        <v>0</v>
      </c>
      <c r="G70" s="8"/>
      <c r="H70" s="82"/>
      <c r="I70" s="82"/>
    </row>
    <row r="71" spans="1:9" x14ac:dyDescent="0.2">
      <c r="A71" s="253"/>
      <c r="B71" s="83" t="s">
        <v>104</v>
      </c>
      <c r="C71" s="56"/>
      <c r="D71" s="56"/>
      <c r="E71" s="56"/>
      <c r="F71" s="57">
        <f t="shared" si="1"/>
        <v>0</v>
      </c>
      <c r="G71" s="8"/>
      <c r="H71" s="82"/>
      <c r="I71" s="82"/>
    </row>
    <row r="72" spans="1:9" s="17" customFormat="1" ht="15.75" customHeight="1" x14ac:dyDescent="0.2">
      <c r="A72" s="254"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54"/>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31" t="s">
        <v>122</v>
      </c>
      <c r="B74" s="231"/>
      <c r="C74" s="87"/>
      <c r="D74" s="88"/>
      <c r="E74" s="257" t="str">
        <f>IF(AND(OR(D72&gt;0,D73&gt;0,)),"Please complete annual steady state","")</f>
        <v/>
      </c>
      <c r="F74" s="257"/>
      <c r="G74" s="8"/>
      <c r="H74" s="8"/>
      <c r="I74" s="8"/>
    </row>
    <row r="75" spans="1:9" ht="30" customHeight="1" x14ac:dyDescent="0.2">
      <c r="A75" s="231" t="s">
        <v>123</v>
      </c>
      <c r="B75" s="231"/>
      <c r="C75" s="258"/>
      <c r="D75" s="258"/>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32"/>
      <c r="C77" s="232"/>
      <c r="D77" s="232"/>
      <c r="E77" s="232"/>
      <c r="F77" s="232"/>
      <c r="G77" s="232"/>
      <c r="H77" s="232"/>
      <c r="I77" s="232"/>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56" t="s">
        <v>92</v>
      </c>
      <c r="B80" s="55" t="s">
        <v>93</v>
      </c>
      <c r="C80" s="56"/>
      <c r="D80" s="56"/>
      <c r="E80" s="56"/>
      <c r="F80" s="70">
        <f t="shared" ref="F80:F89" si="3">SUM(C80:E80)</f>
        <v>0</v>
      </c>
      <c r="G80" s="8"/>
      <c r="H80" s="8"/>
      <c r="I80" s="8"/>
    </row>
    <row r="81" spans="1:9" ht="15.75" hidden="1" customHeight="1" x14ac:dyDescent="0.2">
      <c r="A81" s="256"/>
      <c r="B81" s="55" t="s">
        <v>94</v>
      </c>
      <c r="C81" s="56"/>
      <c r="D81" s="56"/>
      <c r="E81" s="56"/>
      <c r="F81" s="70">
        <f t="shared" si="3"/>
        <v>0</v>
      </c>
      <c r="G81" s="8"/>
      <c r="H81" s="8"/>
      <c r="I81" s="8"/>
    </row>
    <row r="82" spans="1:9" ht="15.75" hidden="1" customHeight="1" x14ac:dyDescent="0.2">
      <c r="A82" s="256" t="s">
        <v>95</v>
      </c>
      <c r="B82" s="55" t="s">
        <v>93</v>
      </c>
      <c r="C82" s="56"/>
      <c r="D82" s="56"/>
      <c r="E82" s="56"/>
      <c r="F82" s="70">
        <f t="shared" si="3"/>
        <v>0</v>
      </c>
      <c r="G82" s="8"/>
      <c r="H82" s="8"/>
      <c r="I82" s="8"/>
    </row>
    <row r="83" spans="1:9" ht="15.75" hidden="1" customHeight="1" x14ac:dyDescent="0.2">
      <c r="A83" s="256"/>
      <c r="B83" s="55" t="s">
        <v>94</v>
      </c>
      <c r="C83" s="56"/>
      <c r="D83" s="56"/>
      <c r="E83" s="56"/>
      <c r="F83" s="70">
        <f t="shared" si="3"/>
        <v>0</v>
      </c>
      <c r="G83" s="8"/>
      <c r="H83" s="8"/>
      <c r="I83" s="8"/>
    </row>
    <row r="84" spans="1:9" ht="15.75" hidden="1" customHeight="1" x14ac:dyDescent="0.2">
      <c r="A84" s="256" t="s">
        <v>96</v>
      </c>
      <c r="B84" s="55" t="s">
        <v>93</v>
      </c>
      <c r="C84" s="56"/>
      <c r="D84" s="56"/>
      <c r="E84" s="56"/>
      <c r="F84" s="70">
        <f t="shared" si="3"/>
        <v>0</v>
      </c>
      <c r="G84" s="8"/>
      <c r="H84" s="8"/>
      <c r="I84" s="8"/>
    </row>
    <row r="85" spans="1:9" ht="15.75" hidden="1" customHeight="1" x14ac:dyDescent="0.2">
      <c r="A85" s="256"/>
      <c r="B85" s="55" t="s">
        <v>94</v>
      </c>
      <c r="C85" s="56"/>
      <c r="D85" s="56"/>
      <c r="E85" s="56"/>
      <c r="F85" s="70">
        <f t="shared" si="3"/>
        <v>0</v>
      </c>
      <c r="G85" s="8"/>
      <c r="H85" s="8"/>
      <c r="I85" s="8"/>
    </row>
    <row r="86" spans="1:9" ht="15.75" hidden="1" customHeight="1" x14ac:dyDescent="0.2">
      <c r="A86" s="256" t="s">
        <v>97</v>
      </c>
      <c r="B86" s="55" t="s">
        <v>93</v>
      </c>
      <c r="C86" s="56"/>
      <c r="D86" s="56"/>
      <c r="E86" s="56"/>
      <c r="F86" s="70">
        <f t="shared" si="3"/>
        <v>0</v>
      </c>
      <c r="G86" s="8"/>
      <c r="H86" s="8"/>
      <c r="I86" s="8"/>
    </row>
    <row r="87" spans="1:9" ht="15.75" hidden="1" customHeight="1" x14ac:dyDescent="0.2">
      <c r="A87" s="256"/>
      <c r="B87" s="55" t="s">
        <v>94</v>
      </c>
      <c r="C87" s="56"/>
      <c r="D87" s="56"/>
      <c r="E87" s="56"/>
      <c r="F87" s="70">
        <f t="shared" si="3"/>
        <v>0</v>
      </c>
      <c r="G87" s="8"/>
      <c r="H87" s="8"/>
      <c r="I87" s="8"/>
    </row>
    <row r="88" spans="1:9" ht="15.75" customHeight="1" thickBot="1" x14ac:dyDescent="0.25">
      <c r="A88" s="253" t="s">
        <v>98</v>
      </c>
      <c r="B88" s="55" t="s">
        <v>99</v>
      </c>
      <c r="C88" s="56"/>
      <c r="D88" s="61"/>
      <c r="E88" s="61"/>
      <c r="F88" s="70">
        <f t="shared" si="3"/>
        <v>0</v>
      </c>
      <c r="G88" s="8"/>
      <c r="H88" s="8"/>
      <c r="I88" s="8"/>
    </row>
    <row r="89" spans="1:9" ht="15.75" thickBot="1" x14ac:dyDescent="0.25">
      <c r="A89" s="253"/>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53" t="s">
        <v>102</v>
      </c>
      <c r="B91" s="55" t="s">
        <v>99</v>
      </c>
      <c r="C91" s="90"/>
      <c r="D91" s="91"/>
      <c r="E91" s="91"/>
      <c r="F91" s="92">
        <f t="shared" ref="F91:F126" si="4">SUM(C91:E91)</f>
        <v>0</v>
      </c>
      <c r="G91" s="261" t="s">
        <v>130</v>
      </c>
      <c r="H91" s="8"/>
      <c r="I91" s="8"/>
    </row>
    <row r="92" spans="1:9" ht="15.75" thickBot="1" x14ac:dyDescent="0.25">
      <c r="A92" s="253"/>
      <c r="B92" s="55" t="s">
        <v>104</v>
      </c>
      <c r="C92" s="93"/>
      <c r="D92" s="56"/>
      <c r="E92" s="56"/>
      <c r="F92" s="70">
        <f t="shared" si="4"/>
        <v>0</v>
      </c>
      <c r="G92" s="261"/>
      <c r="H92" s="8"/>
      <c r="I92" s="8"/>
    </row>
    <row r="93" spans="1:9" ht="15" hidden="1" customHeight="1" thickBot="1" x14ac:dyDescent="0.25">
      <c r="A93" s="253" t="s">
        <v>105</v>
      </c>
      <c r="B93" s="55" t="s">
        <v>99</v>
      </c>
      <c r="C93" s="93"/>
      <c r="D93" s="56"/>
      <c r="E93" s="56"/>
      <c r="F93" s="70">
        <f t="shared" si="4"/>
        <v>0</v>
      </c>
      <c r="G93" s="261"/>
      <c r="H93" s="8"/>
      <c r="I93" s="8"/>
    </row>
    <row r="94" spans="1:9" ht="15.75" hidden="1" thickBot="1" x14ac:dyDescent="0.25">
      <c r="A94" s="253"/>
      <c r="B94" s="55" t="s">
        <v>104</v>
      </c>
      <c r="C94" s="93"/>
      <c r="D94" s="56"/>
      <c r="E94" s="56"/>
      <c r="F94" s="70">
        <f t="shared" si="4"/>
        <v>0</v>
      </c>
      <c r="G94" s="261"/>
      <c r="H94" s="8"/>
      <c r="I94" s="8"/>
    </row>
    <row r="95" spans="1:9" ht="15" customHeight="1" thickBot="1" x14ac:dyDescent="0.25">
      <c r="A95" s="253" t="s">
        <v>106</v>
      </c>
      <c r="B95" s="55" t="s">
        <v>99</v>
      </c>
      <c r="C95" s="93"/>
      <c r="D95" s="56"/>
      <c r="E95" s="56"/>
      <c r="F95" s="70">
        <f t="shared" si="4"/>
        <v>0</v>
      </c>
      <c r="G95" s="261"/>
      <c r="H95" s="8"/>
      <c r="I95" s="8"/>
    </row>
    <row r="96" spans="1:9" ht="15.75" thickBot="1" x14ac:dyDescent="0.25">
      <c r="A96" s="253"/>
      <c r="B96" s="55" t="s">
        <v>104</v>
      </c>
      <c r="C96" s="93"/>
      <c r="D96" s="56"/>
      <c r="E96" s="56"/>
      <c r="F96" s="70">
        <f t="shared" si="4"/>
        <v>0</v>
      </c>
      <c r="G96" s="261"/>
      <c r="H96" s="8"/>
      <c r="I96" s="8"/>
    </row>
    <row r="97" spans="1:9" ht="15" hidden="1" customHeight="1" x14ac:dyDescent="0.2">
      <c r="A97" s="253" t="s">
        <v>107</v>
      </c>
      <c r="B97" s="55" t="s">
        <v>99</v>
      </c>
      <c r="C97" s="93"/>
      <c r="D97" s="56"/>
      <c r="E97" s="56"/>
      <c r="F97" s="70">
        <f t="shared" si="4"/>
        <v>0</v>
      </c>
      <c r="G97" s="261"/>
      <c r="H97" s="8"/>
      <c r="I97" s="8"/>
    </row>
    <row r="98" spans="1:9" hidden="1" x14ac:dyDescent="0.2">
      <c r="A98" s="253"/>
      <c r="B98" s="55" t="s">
        <v>104</v>
      </c>
      <c r="C98" s="93"/>
      <c r="D98" s="56"/>
      <c r="E98" s="56"/>
      <c r="F98" s="70">
        <f t="shared" si="4"/>
        <v>0</v>
      </c>
      <c r="G98" s="261"/>
      <c r="H98" s="8"/>
      <c r="I98" s="8"/>
    </row>
    <row r="99" spans="1:9" ht="15" customHeight="1" thickBot="1" x14ac:dyDescent="0.25">
      <c r="A99" s="253" t="s">
        <v>108</v>
      </c>
      <c r="B99" s="55" t="s">
        <v>99</v>
      </c>
      <c r="C99" s="93"/>
      <c r="D99" s="56"/>
      <c r="E99" s="56"/>
      <c r="F99" s="70">
        <f t="shared" si="4"/>
        <v>0</v>
      </c>
      <c r="G99" s="261"/>
      <c r="H99" s="8"/>
      <c r="I99" s="8"/>
    </row>
    <row r="100" spans="1:9" ht="15.75" thickBot="1" x14ac:dyDescent="0.25">
      <c r="A100" s="253"/>
      <c r="B100" s="55" t="s">
        <v>104</v>
      </c>
      <c r="C100" s="93"/>
      <c r="D100" s="56"/>
      <c r="E100" s="56"/>
      <c r="F100" s="70">
        <f t="shared" si="4"/>
        <v>0</v>
      </c>
      <c r="G100" s="261"/>
      <c r="H100" s="8"/>
      <c r="I100" s="8"/>
    </row>
    <row r="101" spans="1:9" ht="15" hidden="1" customHeight="1" x14ac:dyDescent="0.2">
      <c r="A101" s="253" t="s">
        <v>109</v>
      </c>
      <c r="B101" s="55" t="s">
        <v>99</v>
      </c>
      <c r="C101" s="93"/>
      <c r="D101" s="56"/>
      <c r="E101" s="56"/>
      <c r="F101" s="70">
        <f t="shared" si="4"/>
        <v>0</v>
      </c>
      <c r="G101" s="261"/>
      <c r="H101" s="8"/>
      <c r="I101" s="8"/>
    </row>
    <row r="102" spans="1:9" hidden="1" x14ac:dyDescent="0.2">
      <c r="A102" s="253"/>
      <c r="B102" s="55" t="s">
        <v>104</v>
      </c>
      <c r="C102" s="93"/>
      <c r="D102" s="56"/>
      <c r="E102" s="56"/>
      <c r="F102" s="70">
        <f t="shared" si="4"/>
        <v>0</v>
      </c>
      <c r="G102" s="261"/>
      <c r="H102" s="8"/>
      <c r="I102" s="8"/>
    </row>
    <row r="103" spans="1:9" ht="15" customHeight="1" thickBot="1" x14ac:dyDescent="0.25">
      <c r="A103" s="253" t="s">
        <v>110</v>
      </c>
      <c r="B103" s="55" t="s">
        <v>99</v>
      </c>
      <c r="C103" s="93"/>
      <c r="D103" s="56"/>
      <c r="E103" s="56"/>
      <c r="F103" s="70">
        <f t="shared" si="4"/>
        <v>0</v>
      </c>
      <c r="G103" s="261"/>
      <c r="H103" s="8"/>
      <c r="I103" s="8"/>
    </row>
    <row r="104" spans="1:9" ht="15.75" thickBot="1" x14ac:dyDescent="0.25">
      <c r="A104" s="253"/>
      <c r="B104" s="55" t="s">
        <v>104</v>
      </c>
      <c r="C104" s="94"/>
      <c r="D104" s="95"/>
      <c r="E104" s="95"/>
      <c r="F104" s="96">
        <f t="shared" si="4"/>
        <v>0</v>
      </c>
      <c r="G104" s="261"/>
      <c r="H104" s="8"/>
      <c r="I104" s="8"/>
    </row>
    <row r="105" spans="1:9" ht="15" hidden="1" customHeight="1" x14ac:dyDescent="0.2">
      <c r="A105" s="253" t="s">
        <v>111</v>
      </c>
      <c r="B105" s="55" t="s">
        <v>99</v>
      </c>
      <c r="C105" s="97"/>
      <c r="D105" s="98"/>
      <c r="E105" s="98"/>
      <c r="F105" s="99">
        <f t="shared" si="4"/>
        <v>0</v>
      </c>
      <c r="G105" s="8"/>
      <c r="H105" s="8"/>
      <c r="I105" s="8"/>
    </row>
    <row r="106" spans="1:9" ht="15.75" hidden="1" thickBot="1" x14ac:dyDescent="0.25">
      <c r="A106" s="253"/>
      <c r="B106" s="55" t="s">
        <v>104</v>
      </c>
      <c r="C106" s="88"/>
      <c r="D106" s="88"/>
      <c r="E106" s="88"/>
      <c r="F106" s="99">
        <f t="shared" si="4"/>
        <v>0</v>
      </c>
      <c r="G106" s="8"/>
      <c r="H106" s="8"/>
      <c r="I106" s="8"/>
    </row>
    <row r="107" spans="1:9" ht="15" customHeight="1" thickBot="1" x14ac:dyDescent="0.25">
      <c r="A107" s="253" t="s">
        <v>112</v>
      </c>
      <c r="B107" s="55" t="s">
        <v>99</v>
      </c>
      <c r="C107" s="219"/>
      <c r="D107" s="220"/>
      <c r="E107" s="220"/>
      <c r="F107" s="99">
        <f t="shared" si="4"/>
        <v>0</v>
      </c>
      <c r="G107" s="8"/>
      <c r="H107" s="8"/>
      <c r="I107" s="8"/>
    </row>
    <row r="108" spans="1:9" ht="15.75" thickBot="1" x14ac:dyDescent="0.25">
      <c r="A108" s="253"/>
      <c r="B108" s="55" t="s">
        <v>104</v>
      </c>
      <c r="C108" s="56"/>
      <c r="D108" s="56"/>
      <c r="E108" s="56"/>
      <c r="F108" s="99">
        <f t="shared" si="4"/>
        <v>0</v>
      </c>
      <c r="G108" s="8"/>
      <c r="H108" s="8"/>
      <c r="I108" s="8"/>
    </row>
    <row r="109" spans="1:9" ht="15" hidden="1" customHeight="1" x14ac:dyDescent="0.2">
      <c r="A109" s="253" t="s">
        <v>113</v>
      </c>
      <c r="B109" s="55" t="s">
        <v>99</v>
      </c>
      <c r="C109" s="56"/>
      <c r="D109" s="56"/>
      <c r="E109" s="56"/>
      <c r="F109" s="99">
        <f t="shared" si="4"/>
        <v>0</v>
      </c>
      <c r="G109" s="8"/>
      <c r="H109" s="8"/>
      <c r="I109" s="8"/>
    </row>
    <row r="110" spans="1:9" hidden="1" x14ac:dyDescent="0.2">
      <c r="A110" s="253"/>
      <c r="B110" s="55" t="s">
        <v>104</v>
      </c>
      <c r="C110" s="56"/>
      <c r="D110" s="56"/>
      <c r="E110" s="56"/>
      <c r="F110" s="99">
        <f t="shared" si="4"/>
        <v>0</v>
      </c>
      <c r="G110" s="8"/>
      <c r="H110" s="8"/>
      <c r="I110" s="8"/>
    </row>
    <row r="111" spans="1:9" ht="15" customHeight="1" thickBot="1" x14ac:dyDescent="0.25">
      <c r="A111" s="253" t="s">
        <v>114</v>
      </c>
      <c r="B111" s="55" t="s">
        <v>99</v>
      </c>
      <c r="C111" s="56"/>
      <c r="D111" s="56"/>
      <c r="E111" s="56"/>
      <c r="F111" s="99">
        <f t="shared" si="4"/>
        <v>0</v>
      </c>
      <c r="G111" s="8"/>
      <c r="H111" s="8"/>
      <c r="I111" s="8"/>
    </row>
    <row r="112" spans="1:9" ht="15.75" thickBot="1" x14ac:dyDescent="0.25">
      <c r="A112" s="253"/>
      <c r="B112" s="55" t="s">
        <v>104</v>
      </c>
      <c r="C112" s="56"/>
      <c r="D112" s="56"/>
      <c r="E112" s="56"/>
      <c r="F112" s="99">
        <f t="shared" si="4"/>
        <v>0</v>
      </c>
      <c r="G112" s="100"/>
      <c r="H112" s="100"/>
      <c r="I112" s="100"/>
    </row>
    <row r="113" spans="1:10" ht="15" customHeight="1" x14ac:dyDescent="0.2">
      <c r="A113" s="253" t="s">
        <v>115</v>
      </c>
      <c r="B113" s="55" t="s">
        <v>99</v>
      </c>
      <c r="C113" s="56"/>
      <c r="D113" s="56"/>
      <c r="E113" s="56"/>
      <c r="F113" s="99">
        <f t="shared" si="4"/>
        <v>0</v>
      </c>
      <c r="G113" s="101"/>
      <c r="H113" s="100"/>
      <c r="I113" s="100"/>
      <c r="J113" s="4"/>
    </row>
    <row r="114" spans="1:10" x14ac:dyDescent="0.2">
      <c r="A114" s="253"/>
      <c r="B114" s="55" t="s">
        <v>104</v>
      </c>
      <c r="C114" s="56"/>
      <c r="D114" s="56"/>
      <c r="E114" s="56"/>
      <c r="F114" s="99">
        <f t="shared" si="4"/>
        <v>0</v>
      </c>
      <c r="G114" s="101"/>
      <c r="H114" s="101"/>
      <c r="I114" s="101"/>
      <c r="J114" s="4"/>
    </row>
    <row r="115" spans="1:10" ht="15" customHeight="1" x14ac:dyDescent="0.2">
      <c r="A115" s="253" t="s">
        <v>116</v>
      </c>
      <c r="B115" s="55" t="s">
        <v>99</v>
      </c>
      <c r="C115" s="56"/>
      <c r="D115" s="56"/>
      <c r="E115" s="56"/>
      <c r="F115" s="99">
        <f t="shared" si="4"/>
        <v>0</v>
      </c>
      <c r="G115" s="101"/>
      <c r="H115" s="101"/>
      <c r="I115" s="101"/>
      <c r="J115" s="4"/>
    </row>
    <row r="116" spans="1:10" x14ac:dyDescent="0.2">
      <c r="A116" s="253"/>
      <c r="B116" s="55" t="s">
        <v>104</v>
      </c>
      <c r="C116" s="56"/>
      <c r="D116" s="56"/>
      <c r="E116" s="56"/>
      <c r="F116" s="99">
        <f t="shared" si="4"/>
        <v>0</v>
      </c>
      <c r="G116" s="101"/>
      <c r="H116" s="101"/>
      <c r="I116" s="101"/>
      <c r="J116" s="4"/>
    </row>
    <row r="117" spans="1:10" ht="15" customHeight="1" x14ac:dyDescent="0.2">
      <c r="A117" s="253" t="s">
        <v>117</v>
      </c>
      <c r="B117" s="55" t="s">
        <v>99</v>
      </c>
      <c r="C117" s="56"/>
      <c r="D117" s="56"/>
      <c r="E117" s="56"/>
      <c r="F117" s="99">
        <f t="shared" si="4"/>
        <v>0</v>
      </c>
      <c r="G117" s="100"/>
      <c r="H117" s="101"/>
      <c r="I117" s="101"/>
    </row>
    <row r="118" spans="1:10" x14ac:dyDescent="0.2">
      <c r="A118" s="253"/>
      <c r="B118" s="55" t="s">
        <v>104</v>
      </c>
      <c r="C118" s="56"/>
      <c r="D118" s="56"/>
      <c r="E118" s="56"/>
      <c r="F118" s="99">
        <f t="shared" si="4"/>
        <v>0</v>
      </c>
      <c r="G118" s="8"/>
      <c r="H118" s="8"/>
      <c r="I118" s="8"/>
    </row>
    <row r="119" spans="1:10" ht="15" customHeight="1" x14ac:dyDescent="0.2">
      <c r="A119" s="253" t="s">
        <v>118</v>
      </c>
      <c r="B119" s="55" t="s">
        <v>99</v>
      </c>
      <c r="C119" s="56"/>
      <c r="D119" s="56"/>
      <c r="E119" s="56"/>
      <c r="F119" s="99">
        <f t="shared" si="4"/>
        <v>0</v>
      </c>
      <c r="G119" s="102"/>
      <c r="H119" s="102"/>
      <c r="I119" s="102"/>
    </row>
    <row r="120" spans="1:10" x14ac:dyDescent="0.2">
      <c r="A120" s="253"/>
      <c r="B120" s="55" t="s">
        <v>104</v>
      </c>
      <c r="C120" s="56"/>
      <c r="D120" s="56"/>
      <c r="E120" s="56"/>
      <c r="F120" s="99">
        <f t="shared" si="4"/>
        <v>0</v>
      </c>
      <c r="G120" s="8"/>
      <c r="H120" s="8"/>
      <c r="I120" s="8"/>
    </row>
    <row r="121" spans="1:10" ht="15" customHeight="1" x14ac:dyDescent="0.2">
      <c r="A121" s="253" t="s">
        <v>119</v>
      </c>
      <c r="B121" s="55" t="s">
        <v>99</v>
      </c>
      <c r="C121" s="56"/>
      <c r="D121" s="56"/>
      <c r="E121" s="56"/>
      <c r="F121" s="99">
        <f t="shared" si="4"/>
        <v>0</v>
      </c>
      <c r="G121" s="8"/>
      <c r="H121" s="8"/>
      <c r="I121" s="8"/>
    </row>
    <row r="122" spans="1:10" x14ac:dyDescent="0.2">
      <c r="A122" s="253"/>
      <c r="B122" s="55" t="s">
        <v>104</v>
      </c>
      <c r="C122" s="56"/>
      <c r="D122" s="56"/>
      <c r="E122" s="56"/>
      <c r="F122" s="99">
        <f t="shared" si="4"/>
        <v>0</v>
      </c>
      <c r="G122" s="8"/>
      <c r="H122" s="8"/>
      <c r="I122" s="8"/>
    </row>
    <row r="123" spans="1:10" ht="15" customHeight="1" x14ac:dyDescent="0.2">
      <c r="A123" s="253" t="s">
        <v>120</v>
      </c>
      <c r="B123" s="55" t="s">
        <v>99</v>
      </c>
      <c r="C123" s="56"/>
      <c r="D123" s="56"/>
      <c r="E123" s="56"/>
      <c r="F123" s="99">
        <f t="shared" si="4"/>
        <v>0</v>
      </c>
      <c r="G123" s="8"/>
      <c r="H123" s="8"/>
      <c r="I123" s="8"/>
    </row>
    <row r="124" spans="1:10" x14ac:dyDescent="0.2">
      <c r="A124" s="253"/>
      <c r="B124" s="55" t="s">
        <v>104</v>
      </c>
      <c r="C124" s="56"/>
      <c r="D124" s="56"/>
      <c r="E124" s="56"/>
      <c r="F124" s="99">
        <f t="shared" si="4"/>
        <v>0</v>
      </c>
      <c r="G124" s="8"/>
      <c r="H124" s="8"/>
      <c r="I124" s="8"/>
    </row>
    <row r="125" spans="1:10" s="17" customFormat="1" ht="15.75" customHeight="1" x14ac:dyDescent="0.2">
      <c r="A125" s="254"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54"/>
      <c r="B126" s="86" t="s">
        <v>104</v>
      </c>
      <c r="C126" s="57">
        <f t="shared" si="5"/>
        <v>0</v>
      </c>
      <c r="D126" s="57">
        <f t="shared" si="5"/>
        <v>0</v>
      </c>
      <c r="E126" s="57">
        <f t="shared" si="5"/>
        <v>0</v>
      </c>
      <c r="F126" s="85">
        <f t="shared" si="4"/>
        <v>0</v>
      </c>
      <c r="G126" s="8"/>
      <c r="H126" s="8"/>
      <c r="I126" s="8"/>
    </row>
    <row r="127" spans="1:10" ht="29.25" customHeight="1" x14ac:dyDescent="0.2">
      <c r="A127" s="231" t="s">
        <v>122</v>
      </c>
      <c r="B127" s="231"/>
      <c r="C127" s="87"/>
      <c r="D127" s="63"/>
      <c r="E127" s="257" t="str">
        <f>IF(AND(OR(D125&gt;0,D126&gt;0,)),"Please complete annual steady state","")</f>
        <v/>
      </c>
      <c r="F127" s="257"/>
      <c r="G127" s="8"/>
      <c r="H127" s="8"/>
      <c r="I127" s="8"/>
    </row>
    <row r="128" spans="1:10" ht="29.25" customHeight="1" x14ac:dyDescent="0.25">
      <c r="A128" s="231" t="s">
        <v>677</v>
      </c>
      <c r="B128" s="231"/>
      <c r="C128" s="258"/>
      <c r="D128" s="258"/>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32"/>
      <c r="C130" s="232"/>
      <c r="D130" s="232"/>
      <c r="E130" s="232"/>
      <c r="F130" s="232"/>
      <c r="G130" s="232"/>
      <c r="H130" s="232"/>
      <c r="I130" s="232"/>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59"/>
      <c r="K132" s="259"/>
      <c r="L132" s="259"/>
    </row>
    <row r="133" spans="1:12" s="17" customFormat="1" ht="21.75" customHeight="1" x14ac:dyDescent="0.2">
      <c r="A133" s="260" t="s">
        <v>136</v>
      </c>
      <c r="B133" s="260"/>
      <c r="C133" s="105">
        <f>F72</f>
        <v>0</v>
      </c>
      <c r="D133" s="105">
        <f>F73</f>
        <v>0</v>
      </c>
      <c r="E133" s="105">
        <f>D133-C133</f>
        <v>0</v>
      </c>
      <c r="F133" s="8"/>
      <c r="G133" s="104" t="s">
        <v>136</v>
      </c>
      <c r="H133" s="105">
        <f>SUM(F38,F42,F46)</f>
        <v>0</v>
      </c>
      <c r="I133" s="105">
        <f>SUM(F39,F43,F47)</f>
        <v>0</v>
      </c>
      <c r="J133" s="259"/>
      <c r="K133" s="259"/>
      <c r="L133" s="259"/>
    </row>
    <row r="134" spans="1:12" s="17" customFormat="1" ht="21.75" customHeight="1" x14ac:dyDescent="0.2">
      <c r="A134" s="260" t="s">
        <v>137</v>
      </c>
      <c r="B134" s="260"/>
      <c r="C134" s="105">
        <f>F125</f>
        <v>0</v>
      </c>
      <c r="D134" s="105">
        <f>F126</f>
        <v>0</v>
      </c>
      <c r="E134" s="105">
        <f>D134-C134</f>
        <v>0</v>
      </c>
      <c r="F134" s="8"/>
      <c r="G134" s="104" t="s">
        <v>137</v>
      </c>
      <c r="H134" s="105">
        <f>SUM(F91,F95,F99,F103)</f>
        <v>0</v>
      </c>
      <c r="I134" s="105">
        <f>SUM(F92,F96,F100,F104)</f>
        <v>0</v>
      </c>
      <c r="J134" s="259"/>
      <c r="K134" s="259"/>
      <c r="L134" s="259"/>
    </row>
    <row r="135" spans="1:12" s="17" customFormat="1" ht="21.75" customHeight="1" x14ac:dyDescent="0.2">
      <c r="A135" s="260" t="s">
        <v>138</v>
      </c>
      <c r="B135" s="260"/>
      <c r="C135" s="105">
        <f>H72</f>
        <v>0</v>
      </c>
      <c r="D135" s="105">
        <f>H73</f>
        <v>0</v>
      </c>
      <c r="E135" s="105">
        <f>D135-C135</f>
        <v>0</v>
      </c>
      <c r="F135" s="8"/>
      <c r="G135" s="106" t="s">
        <v>138</v>
      </c>
      <c r="H135" s="105">
        <f>SUM(H38,H42,H46,H50)</f>
        <v>0</v>
      </c>
      <c r="I135" s="105">
        <f>SUM(H39,H43,H47,H51)</f>
        <v>0</v>
      </c>
      <c r="J135" s="259"/>
      <c r="K135" s="259"/>
      <c r="L135" s="259"/>
    </row>
    <row r="136" spans="1:12" s="17" customFormat="1" ht="21.75" customHeight="1" x14ac:dyDescent="0.2">
      <c r="A136" s="260" t="s">
        <v>139</v>
      </c>
      <c r="B136" s="260"/>
      <c r="C136" s="85">
        <f>SUM(C133:C135)</f>
        <v>0</v>
      </c>
      <c r="D136" s="85">
        <f>SUM(D133:D135)</f>
        <v>0</v>
      </c>
      <c r="E136" s="85">
        <f>SUM(E133:E135)</f>
        <v>0</v>
      </c>
      <c r="F136" s="8"/>
      <c r="G136" s="104" t="s">
        <v>139</v>
      </c>
      <c r="H136" s="105">
        <f>SUM(H133:H135)</f>
        <v>0</v>
      </c>
      <c r="I136" s="105">
        <f>SUM(I133:I135)</f>
        <v>0</v>
      </c>
      <c r="J136" s="259"/>
      <c r="K136" s="259"/>
      <c r="L136" s="259"/>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55" t="s">
        <v>144</v>
      </c>
      <c r="B141" s="255"/>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56" t="s">
        <v>92</v>
      </c>
      <c r="B144" s="110" t="s">
        <v>93</v>
      </c>
      <c r="C144" s="56"/>
      <c r="D144" s="56"/>
      <c r="E144" s="56"/>
      <c r="F144" s="56"/>
      <c r="G144" s="57">
        <f t="shared" ref="G144:G175" si="6">SUM(C144:E144)</f>
        <v>0</v>
      </c>
      <c r="H144" s="8"/>
      <c r="I144" s="8"/>
    </row>
    <row r="145" spans="1:9" ht="15.75" hidden="1" customHeight="1" x14ac:dyDescent="0.2">
      <c r="A145" s="256"/>
      <c r="B145" s="110" t="s">
        <v>94</v>
      </c>
      <c r="C145" s="56"/>
      <c r="D145" s="56"/>
      <c r="E145" s="56"/>
      <c r="F145" s="56"/>
      <c r="G145" s="57">
        <f t="shared" si="6"/>
        <v>0</v>
      </c>
      <c r="H145" s="8"/>
      <c r="I145" s="8"/>
    </row>
    <row r="146" spans="1:9" ht="15.75" hidden="1" customHeight="1" x14ac:dyDescent="0.2">
      <c r="A146" s="256" t="s">
        <v>95</v>
      </c>
      <c r="B146" s="110" t="s">
        <v>93</v>
      </c>
      <c r="C146" s="56"/>
      <c r="D146" s="56"/>
      <c r="E146" s="56"/>
      <c r="F146" s="56"/>
      <c r="G146" s="57">
        <f t="shared" si="6"/>
        <v>0</v>
      </c>
      <c r="H146" s="8"/>
      <c r="I146" s="8"/>
    </row>
    <row r="147" spans="1:9" ht="15.75" hidden="1" customHeight="1" x14ac:dyDescent="0.2">
      <c r="A147" s="256"/>
      <c r="B147" s="110" t="s">
        <v>94</v>
      </c>
      <c r="C147" s="56"/>
      <c r="D147" s="56"/>
      <c r="E147" s="56"/>
      <c r="F147" s="56"/>
      <c r="G147" s="57">
        <f t="shared" si="6"/>
        <v>0</v>
      </c>
      <c r="H147" s="8"/>
      <c r="I147" s="8"/>
    </row>
    <row r="148" spans="1:9" ht="15.75" hidden="1" customHeight="1" x14ac:dyDescent="0.2">
      <c r="A148" s="256" t="s">
        <v>96</v>
      </c>
      <c r="B148" s="110" t="s">
        <v>93</v>
      </c>
      <c r="C148" s="56"/>
      <c r="D148" s="56"/>
      <c r="E148" s="56"/>
      <c r="F148" s="56"/>
      <c r="G148" s="57">
        <f t="shared" si="6"/>
        <v>0</v>
      </c>
      <c r="H148" s="8"/>
      <c r="I148" s="8"/>
    </row>
    <row r="149" spans="1:9" ht="15.75" hidden="1" customHeight="1" x14ac:dyDescent="0.2">
      <c r="A149" s="256"/>
      <c r="B149" s="110" t="s">
        <v>94</v>
      </c>
      <c r="C149" s="56"/>
      <c r="D149" s="56"/>
      <c r="E149" s="56"/>
      <c r="F149" s="56"/>
      <c r="G149" s="57">
        <f t="shared" si="6"/>
        <v>0</v>
      </c>
      <c r="H149" s="8"/>
      <c r="I149" s="8"/>
    </row>
    <row r="150" spans="1:9" ht="15.75" hidden="1" customHeight="1" x14ac:dyDescent="0.2">
      <c r="A150" s="256" t="s">
        <v>97</v>
      </c>
      <c r="B150" s="110" t="s">
        <v>93</v>
      </c>
      <c r="C150" s="56"/>
      <c r="D150" s="56"/>
      <c r="E150" s="56"/>
      <c r="F150" s="56"/>
      <c r="G150" s="57">
        <f t="shared" si="6"/>
        <v>0</v>
      </c>
      <c r="H150" s="8"/>
      <c r="I150" s="8"/>
    </row>
    <row r="151" spans="1:9" ht="15.75" hidden="1" customHeight="1" x14ac:dyDescent="0.2">
      <c r="A151" s="256"/>
      <c r="B151" s="110" t="s">
        <v>94</v>
      </c>
      <c r="C151" s="56"/>
      <c r="D151" s="56"/>
      <c r="E151" s="56"/>
      <c r="F151" s="56"/>
      <c r="G151" s="57">
        <f t="shared" si="6"/>
        <v>0</v>
      </c>
      <c r="H151" s="8"/>
      <c r="I151" s="8"/>
    </row>
    <row r="152" spans="1:9" ht="15" customHeight="1" thickBot="1" x14ac:dyDescent="0.25">
      <c r="A152" s="253" t="s">
        <v>98</v>
      </c>
      <c r="B152" s="110" t="s">
        <v>93</v>
      </c>
      <c r="C152" s="56"/>
      <c r="D152" s="56"/>
      <c r="E152" s="56"/>
      <c r="F152" s="56"/>
      <c r="G152" s="57">
        <f t="shared" si="6"/>
        <v>0</v>
      </c>
      <c r="H152" s="8"/>
      <c r="I152" s="8"/>
    </row>
    <row r="153" spans="1:9" ht="15.75" thickBot="1" x14ac:dyDescent="0.25">
      <c r="A153" s="253"/>
      <c r="B153" s="110" t="s">
        <v>94</v>
      </c>
      <c r="C153" s="56"/>
      <c r="D153" s="56"/>
      <c r="E153" s="56"/>
      <c r="F153" s="56"/>
      <c r="G153" s="57">
        <f t="shared" si="6"/>
        <v>0</v>
      </c>
      <c r="H153" s="8"/>
      <c r="I153" s="8"/>
    </row>
    <row r="154" spans="1:9" ht="15" customHeight="1" x14ac:dyDescent="0.2">
      <c r="A154" s="253" t="s">
        <v>102</v>
      </c>
      <c r="B154" s="110" t="s">
        <v>93</v>
      </c>
      <c r="C154" s="56"/>
      <c r="D154" s="56"/>
      <c r="E154" s="56"/>
      <c r="F154" s="56"/>
      <c r="G154" s="57">
        <f t="shared" si="6"/>
        <v>0</v>
      </c>
      <c r="H154" s="8"/>
      <c r="I154" s="8"/>
    </row>
    <row r="155" spans="1:9" ht="15.75" thickBot="1" x14ac:dyDescent="0.25">
      <c r="A155" s="253"/>
      <c r="B155" s="110" t="s">
        <v>104</v>
      </c>
      <c r="C155" s="56"/>
      <c r="D155" s="56"/>
      <c r="E155" s="56"/>
      <c r="F155" s="56"/>
      <c r="G155" s="57">
        <f t="shared" si="6"/>
        <v>0</v>
      </c>
      <c r="H155" s="8"/>
      <c r="I155" s="8"/>
    </row>
    <row r="156" spans="1:9" ht="15" hidden="1" customHeight="1" x14ac:dyDescent="0.2">
      <c r="A156" s="253" t="s">
        <v>105</v>
      </c>
      <c r="B156" s="110" t="s">
        <v>99</v>
      </c>
      <c r="C156" s="56"/>
      <c r="D156" s="56"/>
      <c r="E156" s="56"/>
      <c r="F156" s="56"/>
      <c r="G156" s="57">
        <f t="shared" si="6"/>
        <v>0</v>
      </c>
      <c r="H156" s="8"/>
      <c r="I156" s="8"/>
    </row>
    <row r="157" spans="1:9" hidden="1" x14ac:dyDescent="0.2">
      <c r="A157" s="253"/>
      <c r="B157" s="110" t="s">
        <v>94</v>
      </c>
      <c r="C157" s="56"/>
      <c r="D157" s="56"/>
      <c r="E157" s="56"/>
      <c r="F157" s="56"/>
      <c r="G157" s="57">
        <f t="shared" si="6"/>
        <v>0</v>
      </c>
      <c r="H157" s="8"/>
      <c r="I157" s="8"/>
    </row>
    <row r="158" spans="1:9" ht="15" customHeight="1" thickBot="1" x14ac:dyDescent="0.25">
      <c r="A158" s="253" t="s">
        <v>106</v>
      </c>
      <c r="B158" s="110" t="s">
        <v>93</v>
      </c>
      <c r="C158" s="56"/>
      <c r="D158" s="56"/>
      <c r="E158" s="56"/>
      <c r="F158" s="56"/>
      <c r="G158" s="57">
        <f t="shared" si="6"/>
        <v>0</v>
      </c>
      <c r="H158" s="8"/>
      <c r="I158" s="8"/>
    </row>
    <row r="159" spans="1:9" ht="15.75" thickBot="1" x14ac:dyDescent="0.25">
      <c r="A159" s="253"/>
      <c r="B159" s="110" t="s">
        <v>104</v>
      </c>
      <c r="C159" s="56"/>
      <c r="D159" s="56"/>
      <c r="E159" s="56"/>
      <c r="F159" s="56"/>
      <c r="G159" s="57">
        <f t="shared" si="6"/>
        <v>0</v>
      </c>
      <c r="H159" s="8"/>
      <c r="I159" s="8"/>
    </row>
    <row r="160" spans="1:9" ht="15" hidden="1" customHeight="1" x14ac:dyDescent="0.2">
      <c r="A160" s="253" t="s">
        <v>107</v>
      </c>
      <c r="B160" s="110" t="s">
        <v>99</v>
      </c>
      <c r="C160" s="56"/>
      <c r="D160" s="56"/>
      <c r="E160" s="56"/>
      <c r="F160" s="56"/>
      <c r="G160" s="57">
        <f t="shared" si="6"/>
        <v>0</v>
      </c>
      <c r="H160" s="8"/>
      <c r="I160" s="8"/>
    </row>
    <row r="161" spans="1:9" hidden="1" x14ac:dyDescent="0.2">
      <c r="A161" s="253"/>
      <c r="B161" s="110" t="s">
        <v>94</v>
      </c>
      <c r="C161" s="56"/>
      <c r="D161" s="56"/>
      <c r="E161" s="56"/>
      <c r="F161" s="56"/>
      <c r="G161" s="57">
        <f t="shared" si="6"/>
        <v>0</v>
      </c>
      <c r="H161" s="8"/>
      <c r="I161" s="8"/>
    </row>
    <row r="162" spans="1:9" ht="15" customHeight="1" thickBot="1" x14ac:dyDescent="0.25">
      <c r="A162" s="253" t="s">
        <v>108</v>
      </c>
      <c r="B162" s="110" t="s">
        <v>93</v>
      </c>
      <c r="C162" s="56"/>
      <c r="D162" s="56"/>
      <c r="E162" s="56"/>
      <c r="F162" s="56"/>
      <c r="G162" s="57">
        <f t="shared" si="6"/>
        <v>0</v>
      </c>
      <c r="H162" s="8"/>
      <c r="I162" s="8"/>
    </row>
    <row r="163" spans="1:9" ht="15.75" thickBot="1" x14ac:dyDescent="0.25">
      <c r="A163" s="253"/>
      <c r="B163" s="110" t="s">
        <v>104</v>
      </c>
      <c r="C163" s="56"/>
      <c r="D163" s="56"/>
      <c r="E163" s="56"/>
      <c r="F163" s="56"/>
      <c r="G163" s="57">
        <f t="shared" si="6"/>
        <v>0</v>
      </c>
      <c r="H163" s="8"/>
      <c r="I163" s="8"/>
    </row>
    <row r="164" spans="1:9" ht="15" hidden="1" customHeight="1" x14ac:dyDescent="0.2">
      <c r="A164" s="253" t="s">
        <v>109</v>
      </c>
      <c r="B164" s="110" t="s">
        <v>99</v>
      </c>
      <c r="C164" s="98"/>
      <c r="D164" s="98"/>
      <c r="E164" s="98"/>
      <c r="F164" s="98"/>
      <c r="G164" s="57">
        <f t="shared" si="6"/>
        <v>0</v>
      </c>
      <c r="H164" s="8"/>
      <c r="I164" s="8"/>
    </row>
    <row r="165" spans="1:9" hidden="1" x14ac:dyDescent="0.2">
      <c r="A165" s="253"/>
      <c r="B165" s="110" t="s">
        <v>94</v>
      </c>
      <c r="C165" s="98"/>
      <c r="D165" s="98"/>
      <c r="E165" s="98"/>
      <c r="F165" s="98"/>
      <c r="G165" s="57">
        <f t="shared" si="6"/>
        <v>0</v>
      </c>
      <c r="H165" s="8"/>
      <c r="I165" s="8"/>
    </row>
    <row r="166" spans="1:9" ht="15" customHeight="1" thickBot="1" x14ac:dyDescent="0.25">
      <c r="A166" s="253" t="s">
        <v>110</v>
      </c>
      <c r="B166" s="110" t="s">
        <v>93</v>
      </c>
      <c r="C166" s="98"/>
      <c r="D166" s="98"/>
      <c r="E166" s="98"/>
      <c r="F166" s="98"/>
      <c r="G166" s="111">
        <f t="shared" si="6"/>
        <v>0</v>
      </c>
      <c r="H166" s="8"/>
      <c r="I166" s="8"/>
    </row>
    <row r="167" spans="1:9" ht="15.75" thickBot="1" x14ac:dyDescent="0.25">
      <c r="A167" s="253"/>
      <c r="B167" s="110" t="s">
        <v>104</v>
      </c>
      <c r="C167" s="56"/>
      <c r="D167" s="56"/>
      <c r="E167" s="56"/>
      <c r="F167" s="56"/>
      <c r="G167" s="57">
        <f t="shared" si="6"/>
        <v>0</v>
      </c>
      <c r="H167" s="8"/>
      <c r="I167" s="8"/>
    </row>
    <row r="168" spans="1:9" ht="15" hidden="1" customHeight="1" x14ac:dyDescent="0.2">
      <c r="A168" s="253" t="s">
        <v>111</v>
      </c>
      <c r="B168" s="110" t="s">
        <v>93</v>
      </c>
      <c r="C168" s="56"/>
      <c r="D168" s="56"/>
      <c r="E168" s="56"/>
      <c r="F168" s="56"/>
      <c r="G168" s="57">
        <f t="shared" si="6"/>
        <v>0</v>
      </c>
      <c r="H168" s="8"/>
      <c r="I168" s="8"/>
    </row>
    <row r="169" spans="1:9" hidden="1" x14ac:dyDescent="0.2">
      <c r="A169" s="253"/>
      <c r="B169" s="110" t="s">
        <v>94</v>
      </c>
      <c r="C169" s="56"/>
      <c r="D169" s="56"/>
      <c r="E169" s="56"/>
      <c r="F169" s="56"/>
      <c r="G169" s="57">
        <f t="shared" si="6"/>
        <v>0</v>
      </c>
      <c r="H169" s="8"/>
      <c r="I169" s="8"/>
    </row>
    <row r="170" spans="1:9" ht="15" customHeight="1" thickBot="1" x14ac:dyDescent="0.25">
      <c r="A170" s="253" t="s">
        <v>112</v>
      </c>
      <c r="B170" s="110" t="s">
        <v>93</v>
      </c>
      <c r="C170" s="56"/>
      <c r="D170" s="56"/>
      <c r="E170" s="56"/>
      <c r="F170" s="56"/>
      <c r="G170" s="57">
        <f t="shared" si="6"/>
        <v>0</v>
      </c>
      <c r="H170" s="8"/>
      <c r="I170" s="8"/>
    </row>
    <row r="171" spans="1:9" ht="15.75" thickBot="1" x14ac:dyDescent="0.25">
      <c r="A171" s="253"/>
      <c r="B171" s="110" t="s">
        <v>104</v>
      </c>
      <c r="C171" s="56"/>
      <c r="D171" s="56"/>
      <c r="E171" s="56"/>
      <c r="F171" s="56"/>
      <c r="G171" s="57">
        <f t="shared" si="6"/>
        <v>0</v>
      </c>
      <c r="H171" s="8"/>
      <c r="I171" s="8"/>
    </row>
    <row r="172" spans="1:9" ht="15" hidden="1" customHeight="1" x14ac:dyDescent="0.2">
      <c r="A172" s="253" t="s">
        <v>113</v>
      </c>
      <c r="B172" s="110" t="s">
        <v>93</v>
      </c>
      <c r="C172" s="56"/>
      <c r="D172" s="56"/>
      <c r="E172" s="56"/>
      <c r="F172" s="56"/>
      <c r="G172" s="57">
        <f t="shared" si="6"/>
        <v>0</v>
      </c>
      <c r="H172" s="8"/>
      <c r="I172" s="8"/>
    </row>
    <row r="173" spans="1:9" hidden="1" x14ac:dyDescent="0.2">
      <c r="A173" s="253"/>
      <c r="B173" s="110" t="s">
        <v>94</v>
      </c>
      <c r="C173" s="56"/>
      <c r="D173" s="56"/>
      <c r="E173" s="56"/>
      <c r="F173" s="56"/>
      <c r="G173" s="57">
        <f t="shared" si="6"/>
        <v>0</v>
      </c>
      <c r="H173" s="8"/>
      <c r="I173" s="8"/>
    </row>
    <row r="174" spans="1:9" ht="15" customHeight="1" thickBot="1" x14ac:dyDescent="0.25">
      <c r="A174" s="253" t="s">
        <v>114</v>
      </c>
      <c r="B174" s="110" t="s">
        <v>93</v>
      </c>
      <c r="C174" s="56"/>
      <c r="D174" s="56"/>
      <c r="E174" s="56"/>
      <c r="F174" s="56"/>
      <c r="G174" s="57">
        <f t="shared" si="6"/>
        <v>0</v>
      </c>
      <c r="H174" s="8"/>
      <c r="I174" s="8"/>
    </row>
    <row r="175" spans="1:9" ht="15.75" thickBot="1" x14ac:dyDescent="0.25">
      <c r="A175" s="253"/>
      <c r="B175" s="110" t="s">
        <v>94</v>
      </c>
      <c r="C175" s="56"/>
      <c r="D175" s="56"/>
      <c r="E175" s="56"/>
      <c r="F175" s="56"/>
      <c r="G175" s="57">
        <f t="shared" si="6"/>
        <v>0</v>
      </c>
      <c r="H175" s="8"/>
      <c r="I175" s="8"/>
    </row>
    <row r="176" spans="1:9" ht="15" customHeight="1" x14ac:dyDescent="0.2">
      <c r="A176" s="253" t="s">
        <v>115</v>
      </c>
      <c r="B176" s="110" t="s">
        <v>93</v>
      </c>
      <c r="C176" s="56"/>
      <c r="D176" s="56"/>
      <c r="E176" s="56"/>
      <c r="F176" s="56"/>
      <c r="G176" s="57">
        <f t="shared" ref="G176:G185" si="7">SUM(D176:F176)</f>
        <v>0</v>
      </c>
      <c r="H176" s="8"/>
      <c r="I176" s="8"/>
    </row>
    <row r="177" spans="1:9" x14ac:dyDescent="0.2">
      <c r="A177" s="253"/>
      <c r="B177" s="110" t="s">
        <v>104</v>
      </c>
      <c r="C177" s="56"/>
      <c r="D177" s="56"/>
      <c r="E177" s="56"/>
      <c r="F177" s="56"/>
      <c r="G177" s="57">
        <f t="shared" si="7"/>
        <v>0</v>
      </c>
      <c r="H177" s="8"/>
      <c r="I177" s="8"/>
    </row>
    <row r="178" spans="1:9" ht="15" customHeight="1" x14ac:dyDescent="0.2">
      <c r="A178" s="253" t="s">
        <v>116</v>
      </c>
      <c r="B178" s="110" t="s">
        <v>93</v>
      </c>
      <c r="C178" s="56"/>
      <c r="D178" s="56"/>
      <c r="E178" s="56"/>
      <c r="F178" s="56"/>
      <c r="G178" s="57">
        <f t="shared" si="7"/>
        <v>0</v>
      </c>
      <c r="H178" s="8"/>
      <c r="I178" s="8"/>
    </row>
    <row r="179" spans="1:9" x14ac:dyDescent="0.2">
      <c r="A179" s="253"/>
      <c r="B179" s="110" t="s">
        <v>104</v>
      </c>
      <c r="C179" s="56"/>
      <c r="D179" s="56"/>
      <c r="E179" s="56"/>
      <c r="F179" s="56"/>
      <c r="G179" s="57">
        <f t="shared" si="7"/>
        <v>0</v>
      </c>
      <c r="H179" s="8"/>
      <c r="I179" s="8"/>
    </row>
    <row r="180" spans="1:9" ht="15" customHeight="1" x14ac:dyDescent="0.2">
      <c r="A180" s="253" t="s">
        <v>117</v>
      </c>
      <c r="B180" s="110" t="s">
        <v>93</v>
      </c>
      <c r="C180" s="56"/>
      <c r="D180" s="56"/>
      <c r="E180" s="56"/>
      <c r="F180" s="56"/>
      <c r="G180" s="57">
        <f t="shared" si="7"/>
        <v>0</v>
      </c>
      <c r="H180" s="8"/>
      <c r="I180" s="8"/>
    </row>
    <row r="181" spans="1:9" x14ac:dyDescent="0.2">
      <c r="A181" s="253"/>
      <c r="B181" s="110" t="s">
        <v>104</v>
      </c>
      <c r="C181" s="56"/>
      <c r="D181" s="56"/>
      <c r="E181" s="56"/>
      <c r="F181" s="56"/>
      <c r="G181" s="57">
        <f t="shared" si="7"/>
        <v>0</v>
      </c>
      <c r="H181" s="8"/>
      <c r="I181" s="8"/>
    </row>
    <row r="182" spans="1:9" ht="15" customHeight="1" x14ac:dyDescent="0.2">
      <c r="A182" s="253" t="s">
        <v>118</v>
      </c>
      <c r="B182" s="110" t="s">
        <v>93</v>
      </c>
      <c r="C182" s="56"/>
      <c r="D182" s="56"/>
      <c r="E182" s="56"/>
      <c r="F182" s="56"/>
      <c r="G182" s="57">
        <f t="shared" si="7"/>
        <v>0</v>
      </c>
      <c r="H182" s="8"/>
      <c r="I182" s="8"/>
    </row>
    <row r="183" spans="1:9" x14ac:dyDescent="0.2">
      <c r="A183" s="253"/>
      <c r="B183" s="110" t="s">
        <v>104</v>
      </c>
      <c r="C183" s="56"/>
      <c r="D183" s="56"/>
      <c r="E183" s="56"/>
      <c r="F183" s="56"/>
      <c r="G183" s="57">
        <f t="shared" si="7"/>
        <v>0</v>
      </c>
      <c r="H183" s="8"/>
      <c r="I183" s="8"/>
    </row>
    <row r="184" spans="1:9" ht="15" customHeight="1" x14ac:dyDescent="0.2">
      <c r="A184" s="253" t="s">
        <v>119</v>
      </c>
      <c r="B184" s="110" t="s">
        <v>93</v>
      </c>
      <c r="C184" s="56"/>
      <c r="D184" s="56"/>
      <c r="E184" s="56"/>
      <c r="F184" s="56"/>
      <c r="G184" s="57">
        <f t="shared" si="7"/>
        <v>0</v>
      </c>
      <c r="H184" s="8"/>
      <c r="I184" s="8"/>
    </row>
    <row r="185" spans="1:9" x14ac:dyDescent="0.2">
      <c r="A185" s="253"/>
      <c r="B185" s="110" t="s">
        <v>104</v>
      </c>
      <c r="C185" s="56"/>
      <c r="D185" s="56"/>
      <c r="E185" s="56"/>
      <c r="F185" s="56"/>
      <c r="G185" s="57">
        <f t="shared" si="7"/>
        <v>0</v>
      </c>
      <c r="H185" s="8"/>
      <c r="I185" s="8"/>
    </row>
    <row r="186" spans="1:9" ht="15.75" customHeight="1" x14ac:dyDescent="0.2">
      <c r="A186" s="253" t="s">
        <v>152</v>
      </c>
      <c r="B186" s="110" t="s">
        <v>93</v>
      </c>
      <c r="C186" s="56"/>
      <c r="D186" s="56"/>
      <c r="E186" s="56"/>
      <c r="F186" s="56"/>
      <c r="G186" s="57">
        <f>SUM(C186:E186)</f>
        <v>0</v>
      </c>
      <c r="H186" s="8"/>
      <c r="I186" s="8"/>
    </row>
    <row r="187" spans="1:9" x14ac:dyDescent="0.2">
      <c r="A187" s="253"/>
      <c r="B187" s="110" t="s">
        <v>104</v>
      </c>
      <c r="C187" s="56"/>
      <c r="D187" s="56"/>
      <c r="E187" s="56"/>
      <c r="F187" s="56"/>
      <c r="G187" s="57">
        <f>SUM(C187:E187)</f>
        <v>0</v>
      </c>
      <c r="H187" s="8"/>
      <c r="I187" s="8"/>
    </row>
    <row r="188" spans="1:9" ht="16.5" customHeight="1" x14ac:dyDescent="0.25">
      <c r="A188" s="254"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54"/>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31" t="s">
        <v>154</v>
      </c>
      <c r="B191" s="231"/>
      <c r="C191" s="114"/>
      <c r="D191" s="253"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53"/>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52" t="s">
        <v>161</v>
      </c>
      <c r="B194" s="125" t="s">
        <v>162</v>
      </c>
      <c r="C194" s="49"/>
      <c r="D194" s="125" t="s">
        <v>163</v>
      </c>
      <c r="E194" s="49"/>
      <c r="F194" s="125" t="s">
        <v>164</v>
      </c>
      <c r="G194" s="49"/>
      <c r="H194" s="125" t="s">
        <v>165</v>
      </c>
      <c r="I194" s="49"/>
    </row>
    <row r="195" spans="1:9" s="17" customFormat="1" ht="50.25" hidden="1" customHeight="1" x14ac:dyDescent="0.2">
      <c r="A195" s="252"/>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32"/>
      <c r="C197" s="232"/>
      <c r="D197" s="232"/>
      <c r="E197" s="232"/>
      <c r="F197" s="232"/>
      <c r="G197" s="232"/>
      <c r="H197" s="232"/>
      <c r="I197" s="232"/>
    </row>
    <row r="198" spans="1:9" ht="15" customHeight="1" x14ac:dyDescent="0.2">
      <c r="A198" s="116"/>
      <c r="B198" s="28"/>
      <c r="C198" s="28"/>
      <c r="D198" s="28"/>
      <c r="E198" s="28"/>
      <c r="F198" s="28"/>
      <c r="G198" s="28"/>
      <c r="H198" s="28"/>
      <c r="I198" s="28"/>
    </row>
  </sheetData>
  <sheetProtection password="99CA" sheet="1" objects="1" scenarios="1"/>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activeCell="E35" sqref="E35"/>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77" t="s">
        <v>0</v>
      </c>
      <c r="B1" s="277"/>
      <c r="C1" s="277"/>
      <c r="D1" s="277"/>
      <c r="E1" s="277"/>
      <c r="F1" s="277"/>
      <c r="G1" s="277"/>
      <c r="H1" s="277"/>
      <c r="I1" s="277"/>
      <c r="J1" s="277"/>
      <c r="K1" s="277"/>
      <c r="L1" s="277"/>
      <c r="M1" s="43" t="s">
        <v>58</v>
      </c>
    </row>
    <row r="2" spans="1:13" ht="20.25" customHeight="1" x14ac:dyDescent="0.3">
      <c r="A2" s="278" t="s">
        <v>171</v>
      </c>
      <c r="B2" s="278"/>
      <c r="C2" s="278"/>
      <c r="D2" s="4"/>
      <c r="E2" s="4"/>
      <c r="F2" s="4"/>
      <c r="G2" s="4"/>
      <c r="H2" s="4"/>
      <c r="I2" s="4"/>
      <c r="J2" s="4"/>
      <c r="K2" s="4"/>
      <c r="L2" s="4"/>
      <c r="M2" s="4"/>
    </row>
    <row r="3" spans="1:13" ht="15.75" customHeight="1" x14ac:dyDescent="0.25">
      <c r="A3" s="279" t="s">
        <v>172</v>
      </c>
      <c r="B3" s="279"/>
      <c r="C3" s="279"/>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80"/>
      <c r="D19" s="280"/>
      <c r="E19" s="280"/>
      <c r="F19" s="280"/>
      <c r="G19" s="280"/>
      <c r="H19" s="280"/>
      <c r="I19" s="280"/>
      <c r="J19" s="280"/>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81" t="s">
        <v>191</v>
      </c>
      <c r="D21" s="281"/>
      <c r="E21" s="281"/>
      <c r="F21" s="281"/>
      <c r="G21" s="281"/>
      <c r="I21" s="281" t="s">
        <v>192</v>
      </c>
      <c r="J21" s="281"/>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75" t="s">
        <v>199</v>
      </c>
      <c r="M25" s="275"/>
    </row>
    <row r="26" spans="1:13" s="17" customFormat="1" ht="45.75" customHeight="1" x14ac:dyDescent="0.2">
      <c r="A26" s="128" t="s">
        <v>200</v>
      </c>
      <c r="B26" s="3"/>
      <c r="C26" s="132"/>
      <c r="D26" s="131"/>
      <c r="E26" s="132"/>
      <c r="F26" s="131"/>
      <c r="G26" s="132"/>
      <c r="H26" s="131"/>
      <c r="I26" s="132"/>
      <c r="J26" s="139"/>
      <c r="K26" s="141" t="s">
        <v>201</v>
      </c>
      <c r="L26" s="275" t="s">
        <v>202</v>
      </c>
      <c r="M26" s="275"/>
    </row>
    <row r="27" spans="1:13" s="17" customFormat="1" ht="45.75" customHeight="1" x14ac:dyDescent="0.2">
      <c r="A27" s="128" t="s">
        <v>203</v>
      </c>
      <c r="B27" s="3"/>
      <c r="C27" s="132"/>
      <c r="D27" s="131"/>
      <c r="E27" s="132"/>
      <c r="F27" s="131"/>
      <c r="G27" s="132"/>
      <c r="H27" s="131"/>
      <c r="I27" s="132"/>
      <c r="J27" s="139"/>
      <c r="K27" s="142" t="s">
        <v>204</v>
      </c>
      <c r="L27" s="275" t="s">
        <v>205</v>
      </c>
      <c r="M27" s="275"/>
    </row>
    <row r="28" spans="1:13" s="17" customFormat="1" ht="45.75" customHeight="1" x14ac:dyDescent="0.2">
      <c r="A28" s="128" t="s">
        <v>206</v>
      </c>
      <c r="B28" s="3"/>
      <c r="C28" s="132"/>
      <c r="D28" s="131"/>
      <c r="E28" s="132"/>
      <c r="F28" s="131"/>
      <c r="G28" s="132"/>
      <c r="H28" s="131"/>
      <c r="I28" s="132"/>
      <c r="J28" s="139"/>
      <c r="K28" s="143" t="s">
        <v>207</v>
      </c>
      <c r="L28" s="275" t="s">
        <v>208</v>
      </c>
      <c r="M28" s="275"/>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230" t="s">
        <v>197</v>
      </c>
      <c r="B35" s="3"/>
      <c r="C35" s="132"/>
      <c r="D35" s="131"/>
      <c r="E35" s="132"/>
      <c r="F35" s="131"/>
      <c r="G35" s="132"/>
      <c r="H35" s="131"/>
      <c r="I35" s="132"/>
      <c r="J35" s="132"/>
      <c r="K35" s="3"/>
      <c r="L35" s="3"/>
      <c r="M35" s="3"/>
    </row>
    <row r="36" spans="1:13" s="17" customFormat="1" ht="45.75" customHeight="1" x14ac:dyDescent="0.2">
      <c r="A36" s="230" t="s">
        <v>215</v>
      </c>
      <c r="B36" s="3"/>
      <c r="C36" s="132"/>
      <c r="D36" s="131"/>
      <c r="E36" s="132"/>
      <c r="F36" s="131"/>
      <c r="G36" s="132"/>
      <c r="H36" s="131"/>
      <c r="I36" s="132"/>
      <c r="J36" s="132"/>
      <c r="K36" s="3"/>
      <c r="L36" s="3"/>
      <c r="M36" s="3"/>
    </row>
    <row r="37" spans="1:13" s="17" customFormat="1" ht="29.25" customHeight="1" x14ac:dyDescent="0.2">
      <c r="A37" s="144" t="s">
        <v>121</v>
      </c>
      <c r="B37" s="3"/>
      <c r="C37" s="145">
        <f>SUM(C25:C36)</f>
        <v>0</v>
      </c>
      <c r="D37" s="131"/>
      <c r="E37" s="145">
        <f>SUM(E25:E36)</f>
        <v>0</v>
      </c>
      <c r="F37" s="131"/>
      <c r="G37" s="146">
        <f>SUM(G25:G36)</f>
        <v>0</v>
      </c>
      <c r="H37" s="131"/>
      <c r="I37" s="131"/>
      <c r="J37" s="131"/>
      <c r="K37" s="3"/>
      <c r="L37" s="3"/>
      <c r="M37" s="3"/>
    </row>
    <row r="38" spans="1:13" s="17" customFormat="1" ht="46.5" customHeight="1" x14ac:dyDescent="0.2">
      <c r="A38" s="3"/>
      <c r="B38" s="3"/>
      <c r="C38" s="276" t="s">
        <v>216</v>
      </c>
      <c r="D38" s="276"/>
      <c r="E38" s="276"/>
      <c r="F38" s="3"/>
      <c r="G38" s="138" t="s">
        <v>217</v>
      </c>
      <c r="H38" s="3"/>
      <c r="I38" s="132"/>
      <c r="J38" s="132"/>
      <c r="K38" s="3"/>
      <c r="L38" s="3"/>
      <c r="M38" s="3"/>
    </row>
    <row r="39" spans="1:13" s="17" customFormat="1" ht="259.5" customHeight="1" x14ac:dyDescent="0.2">
      <c r="A39" s="128" t="s">
        <v>189</v>
      </c>
      <c r="B39" s="3"/>
      <c r="C39" s="274"/>
      <c r="D39" s="274"/>
      <c r="E39" s="274"/>
      <c r="F39" s="274"/>
      <c r="G39" s="274"/>
      <c r="H39" s="274"/>
      <c r="I39" s="274"/>
      <c r="J39" s="274"/>
      <c r="K39" s="3"/>
      <c r="L39" s="3"/>
      <c r="M39" s="3"/>
    </row>
  </sheetData>
  <sheetProtection password="99CA" sheet="1" objects="1" scenarios="1"/>
  <mergeCells count="12">
    <mergeCell ref="A1:L1"/>
    <mergeCell ref="A2:C2"/>
    <mergeCell ref="A3:C3"/>
    <mergeCell ref="C19:J19"/>
    <mergeCell ref="C21:G21"/>
    <mergeCell ref="I21:J21"/>
    <mergeCell ref="C39:J39"/>
    <mergeCell ref="L25:M25"/>
    <mergeCell ref="L26:M26"/>
    <mergeCell ref="L27:M27"/>
    <mergeCell ref="L28:M28"/>
    <mergeCell ref="C38:E38"/>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B9" sqref="B9"/>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77" t="s">
        <v>0</v>
      </c>
      <c r="B1" s="277"/>
      <c r="C1" s="277"/>
      <c r="D1" s="277"/>
      <c r="E1" s="277"/>
      <c r="F1" s="277"/>
      <c r="G1" s="290" t="s">
        <v>58</v>
      </c>
      <c r="H1" s="290"/>
      <c r="I1" s="147"/>
      <c r="J1" s="148"/>
      <c r="K1" s="148"/>
    </row>
    <row r="2" spans="1:12" ht="20.25" customHeight="1" x14ac:dyDescent="0.3">
      <c r="A2" s="278" t="s">
        <v>218</v>
      </c>
      <c r="B2" s="278"/>
      <c r="C2" s="278"/>
      <c r="D2" s="4"/>
      <c r="E2" s="4"/>
      <c r="F2" s="4"/>
      <c r="G2" s="4"/>
      <c r="H2" s="4"/>
      <c r="I2" s="4"/>
      <c r="J2" s="4"/>
      <c r="K2" s="4"/>
      <c r="L2" s="4"/>
    </row>
    <row r="3" spans="1:12" ht="15.75" customHeight="1" x14ac:dyDescent="0.2">
      <c r="A3" s="291" t="s">
        <v>219</v>
      </c>
      <c r="B3" s="291"/>
      <c r="C3" s="291"/>
      <c r="D3" s="149"/>
      <c r="E3" s="4"/>
      <c r="F3" s="4"/>
      <c r="G3" s="4"/>
      <c r="H3" s="4"/>
      <c r="I3" s="4"/>
      <c r="J3" s="4"/>
      <c r="K3" s="4"/>
      <c r="L3" s="4"/>
    </row>
    <row r="4" spans="1:12" ht="24.4" customHeight="1" x14ac:dyDescent="0.2">
      <c r="A4" s="138" t="s">
        <v>220</v>
      </c>
      <c r="B4" s="225"/>
      <c r="C4" s="138" t="s">
        <v>221</v>
      </c>
      <c r="D4" s="228"/>
      <c r="E4" s="4"/>
      <c r="F4" s="4"/>
      <c r="G4" s="4"/>
      <c r="H4" s="4"/>
      <c r="I4" s="4"/>
      <c r="J4" s="4"/>
      <c r="K4" s="4"/>
      <c r="L4" s="4"/>
    </row>
    <row r="5" spans="1:12" s="17" customFormat="1" ht="28.5" customHeight="1" x14ac:dyDescent="0.2">
      <c r="A5" s="138" t="s">
        <v>678</v>
      </c>
      <c r="B5" s="225"/>
      <c r="C5" s="138" t="s">
        <v>679</v>
      </c>
      <c r="D5" s="154"/>
      <c r="E5" s="288"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89"/>
      <c r="G5" s="208"/>
      <c r="H5" s="208"/>
      <c r="I5" s="208"/>
      <c r="J5" s="208"/>
      <c r="K5" s="208"/>
    </row>
    <row r="6" spans="1:12" s="17" customFormat="1" ht="6" customHeight="1" x14ac:dyDescent="0.2">
      <c r="A6" s="287"/>
      <c r="B6" s="287"/>
      <c r="C6" s="287"/>
      <c r="D6" s="287"/>
      <c r="E6" s="287"/>
      <c r="F6" s="287"/>
      <c r="G6" s="3"/>
      <c r="H6" s="3"/>
      <c r="I6" s="3"/>
      <c r="J6" s="3"/>
      <c r="K6" s="3"/>
      <c r="L6" s="3"/>
    </row>
    <row r="7" spans="1:12" s="151" customFormat="1" ht="64.5" customHeight="1" thickBot="1" x14ac:dyDescent="0.25">
      <c r="A7" s="223" t="s">
        <v>681</v>
      </c>
      <c r="B7" s="150" t="s">
        <v>680</v>
      </c>
      <c r="C7" s="150" t="s">
        <v>223</v>
      </c>
      <c r="D7" s="150" t="s">
        <v>224</v>
      </c>
      <c r="E7" s="150" t="s">
        <v>225</v>
      </c>
      <c r="F7" s="137" t="s">
        <v>226</v>
      </c>
      <c r="G7" s="148"/>
      <c r="H7" s="148"/>
      <c r="I7" s="148"/>
      <c r="J7" s="148"/>
      <c r="K7" s="148"/>
      <c r="L7" s="148"/>
    </row>
    <row r="8" spans="1:12" s="17" customFormat="1" ht="15.75" customHeight="1" thickBot="1" x14ac:dyDescent="0.3">
      <c r="A8" s="282" t="s">
        <v>227</v>
      </c>
      <c r="B8" s="283"/>
      <c r="C8" s="283"/>
      <c r="D8" s="283"/>
      <c r="E8" s="283"/>
      <c r="F8" s="284"/>
      <c r="G8" s="3"/>
      <c r="H8" s="3"/>
      <c r="I8" s="3"/>
      <c r="J8" s="3"/>
      <c r="K8" s="3"/>
      <c r="L8" s="3"/>
    </row>
    <row r="9" spans="1:12" s="17" customFormat="1" ht="46.5" customHeight="1" thickBot="1" x14ac:dyDescent="0.25">
      <c r="A9" s="152" t="s">
        <v>228</v>
      </c>
      <c r="B9" s="153"/>
      <c r="C9" s="153"/>
      <c r="D9" s="153"/>
      <c r="E9" s="209" t="s">
        <v>682</v>
      </c>
      <c r="F9" s="155"/>
      <c r="G9" s="285"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5"/>
      <c r="I9" s="285"/>
      <c r="J9" s="285"/>
      <c r="K9" s="285"/>
      <c r="L9" s="285"/>
    </row>
    <row r="10" spans="1:12" s="17" customFormat="1" ht="45.75" customHeight="1" x14ac:dyDescent="0.2">
      <c r="A10" s="152" t="s">
        <v>229</v>
      </c>
      <c r="B10" s="153"/>
      <c r="C10" s="153"/>
      <c r="D10" s="153"/>
      <c r="E10" s="209" t="s">
        <v>682</v>
      </c>
      <c r="F10" s="155"/>
      <c r="G10" s="285"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5"/>
      <c r="I10" s="285"/>
      <c r="J10" s="285"/>
      <c r="K10" s="285"/>
      <c r="L10" s="285"/>
    </row>
    <row r="11" spans="1:12" s="17" customFormat="1" ht="45.75" customHeight="1" x14ac:dyDescent="0.2">
      <c r="A11" s="152" t="s">
        <v>230</v>
      </c>
      <c r="B11" s="153"/>
      <c r="C11" s="153"/>
      <c r="D11" s="153"/>
      <c r="E11" s="209" t="s">
        <v>682</v>
      </c>
      <c r="F11" s="155"/>
      <c r="G11" s="285" t="str">
        <f t="shared" si="0"/>
        <v>Please add original baseline and forecast date</v>
      </c>
      <c r="H11" s="285"/>
      <c r="I11" s="285"/>
      <c r="J11" s="285"/>
      <c r="K11" s="285"/>
      <c r="L11" s="285"/>
    </row>
    <row r="12" spans="1:12" s="17" customFormat="1" ht="45.75" customHeight="1" x14ac:dyDescent="0.2">
      <c r="A12" s="152" t="s">
        <v>231</v>
      </c>
      <c r="B12" s="153"/>
      <c r="C12" s="153"/>
      <c r="D12" s="153"/>
      <c r="E12" s="209" t="s">
        <v>682</v>
      </c>
      <c r="F12" s="155"/>
      <c r="G12" s="285" t="str">
        <f t="shared" si="0"/>
        <v>Please add original baseline and forecast date</v>
      </c>
      <c r="H12" s="285"/>
      <c r="I12" s="285"/>
      <c r="J12" s="285"/>
      <c r="K12" s="285"/>
      <c r="L12" s="285"/>
    </row>
    <row r="13" spans="1:12" s="17" customFormat="1" ht="45.75" customHeight="1" x14ac:dyDescent="0.2">
      <c r="A13" s="152" t="s">
        <v>232</v>
      </c>
      <c r="B13" s="153"/>
      <c r="C13" s="153"/>
      <c r="D13" s="153"/>
      <c r="E13" s="209" t="s">
        <v>682</v>
      </c>
      <c r="F13" s="155"/>
      <c r="G13" s="285" t="str">
        <f t="shared" si="0"/>
        <v>Please add original baseline and forecast date</v>
      </c>
      <c r="H13" s="285"/>
      <c r="I13" s="285"/>
      <c r="J13" s="285"/>
      <c r="K13" s="285"/>
      <c r="L13" s="285"/>
    </row>
    <row r="14" spans="1:12" s="17" customFormat="1" ht="45.75" customHeight="1" x14ac:dyDescent="0.2">
      <c r="A14" s="152" t="s">
        <v>233</v>
      </c>
      <c r="B14" s="153"/>
      <c r="C14" s="153"/>
      <c r="D14" s="153"/>
      <c r="E14" s="209" t="s">
        <v>682</v>
      </c>
      <c r="F14" s="155"/>
      <c r="G14" s="285" t="str">
        <f t="shared" si="0"/>
        <v>Please add original baseline and forecast date</v>
      </c>
      <c r="H14" s="285"/>
      <c r="I14" s="285"/>
      <c r="J14" s="285"/>
      <c r="K14" s="285"/>
      <c r="L14" s="285"/>
    </row>
    <row r="15" spans="1:12" s="17" customFormat="1" ht="45.75" customHeight="1" x14ac:dyDescent="0.2">
      <c r="A15" s="152" t="s">
        <v>234</v>
      </c>
      <c r="B15" s="153"/>
      <c r="C15" s="153"/>
      <c r="D15" s="153"/>
      <c r="E15" s="209" t="s">
        <v>682</v>
      </c>
      <c r="F15" s="155"/>
      <c r="G15" s="285" t="str">
        <f t="shared" si="0"/>
        <v>Please add original baseline and forecast date</v>
      </c>
      <c r="H15" s="285"/>
      <c r="I15" s="285"/>
      <c r="J15" s="285"/>
      <c r="K15" s="285"/>
      <c r="L15" s="285"/>
    </row>
    <row r="16" spans="1:12" s="17" customFormat="1" ht="45.75" customHeight="1" x14ac:dyDescent="0.2">
      <c r="A16" s="152" t="s">
        <v>235</v>
      </c>
      <c r="B16" s="153"/>
      <c r="C16" s="153"/>
      <c r="D16" s="153"/>
      <c r="E16" s="209" t="s">
        <v>682</v>
      </c>
      <c r="F16" s="155"/>
      <c r="G16" s="285" t="str">
        <f t="shared" si="0"/>
        <v>Please add original baseline and forecast date</v>
      </c>
      <c r="H16" s="285"/>
      <c r="I16" s="285"/>
      <c r="J16" s="285"/>
      <c r="K16" s="285"/>
      <c r="L16" s="285"/>
    </row>
    <row r="17" spans="1:12" s="17" customFormat="1" ht="45.75" customHeight="1" x14ac:dyDescent="0.2">
      <c r="A17" s="152" t="s">
        <v>236</v>
      </c>
      <c r="B17" s="153"/>
      <c r="C17" s="153"/>
      <c r="D17" s="153"/>
      <c r="E17" s="209" t="s">
        <v>682</v>
      </c>
      <c r="F17" s="155"/>
      <c r="G17" s="285" t="str">
        <f t="shared" si="0"/>
        <v>Please add original baseline and forecast date</v>
      </c>
      <c r="H17" s="285"/>
      <c r="I17" s="285"/>
      <c r="J17" s="285"/>
      <c r="K17" s="285"/>
      <c r="L17" s="285"/>
    </row>
    <row r="18" spans="1:12" s="17" customFormat="1" ht="45.75" customHeight="1" x14ac:dyDescent="0.2">
      <c r="A18" s="152" t="s">
        <v>237</v>
      </c>
      <c r="B18" s="153"/>
      <c r="C18" s="153"/>
      <c r="D18" s="153"/>
      <c r="E18" s="209" t="s">
        <v>682</v>
      </c>
      <c r="F18" s="155"/>
      <c r="G18" s="285" t="str">
        <f t="shared" si="0"/>
        <v>Please add original baseline and forecast date</v>
      </c>
      <c r="H18" s="285"/>
      <c r="I18" s="285"/>
      <c r="J18" s="285"/>
      <c r="K18" s="285"/>
      <c r="L18" s="285"/>
    </row>
    <row r="19" spans="1:12" s="17" customFormat="1" ht="45.75" customHeight="1" x14ac:dyDescent="0.2">
      <c r="A19" s="152" t="s">
        <v>238</v>
      </c>
      <c r="B19" s="153"/>
      <c r="C19" s="153"/>
      <c r="D19" s="153"/>
      <c r="E19" s="209" t="s">
        <v>682</v>
      </c>
      <c r="F19" s="155"/>
      <c r="G19" s="285" t="str">
        <f t="shared" si="0"/>
        <v>Please add original baseline and forecast date</v>
      </c>
      <c r="H19" s="285"/>
      <c r="I19" s="285"/>
      <c r="J19" s="285"/>
      <c r="K19" s="285"/>
      <c r="L19" s="285"/>
    </row>
    <row r="20" spans="1:12" s="17" customFormat="1" ht="45.75" customHeight="1" x14ac:dyDescent="0.2">
      <c r="A20" s="229" t="s">
        <v>239</v>
      </c>
      <c r="B20" s="153"/>
      <c r="C20" s="153"/>
      <c r="D20" s="153"/>
      <c r="E20" s="209" t="s">
        <v>683</v>
      </c>
      <c r="F20" s="155"/>
      <c r="G20" s="285" t="str">
        <f t="shared" si="0"/>
        <v>Please add original baseline and forecast date</v>
      </c>
      <c r="H20" s="285"/>
      <c r="I20" s="285"/>
      <c r="J20" s="285"/>
      <c r="K20" s="285"/>
      <c r="L20" s="285"/>
    </row>
    <row r="21" spans="1:12" s="17" customFormat="1" ht="45.75" customHeight="1" x14ac:dyDescent="0.2">
      <c r="A21" s="229" t="s">
        <v>240</v>
      </c>
      <c r="B21" s="153"/>
      <c r="C21" s="153"/>
      <c r="D21" s="153"/>
      <c r="E21" s="209" t="s">
        <v>683</v>
      </c>
      <c r="F21" s="155"/>
      <c r="G21" s="285" t="str">
        <f t="shared" si="0"/>
        <v>Please add original baseline and forecast date</v>
      </c>
      <c r="H21" s="285"/>
      <c r="I21" s="285"/>
      <c r="J21" s="285"/>
      <c r="K21" s="285"/>
      <c r="L21" s="285"/>
    </row>
    <row r="22" spans="1:12" s="17" customFormat="1" ht="45.75" customHeight="1" x14ac:dyDescent="0.2">
      <c r="A22" s="229" t="s">
        <v>241</v>
      </c>
      <c r="B22" s="153"/>
      <c r="C22" s="153"/>
      <c r="D22" s="153"/>
      <c r="E22" s="209" t="s">
        <v>683</v>
      </c>
      <c r="F22" s="155"/>
      <c r="G22" s="285" t="str">
        <f t="shared" si="0"/>
        <v>Please add original baseline and forecast date</v>
      </c>
      <c r="H22" s="285"/>
      <c r="I22" s="285"/>
      <c r="J22" s="285"/>
      <c r="K22" s="285"/>
      <c r="L22" s="285"/>
    </row>
    <row r="23" spans="1:12" s="17" customFormat="1" ht="45.75" customHeight="1" x14ac:dyDescent="0.2">
      <c r="A23" s="229" t="s">
        <v>242</v>
      </c>
      <c r="B23" s="153"/>
      <c r="C23" s="153"/>
      <c r="D23" s="153"/>
      <c r="E23" s="209" t="s">
        <v>683</v>
      </c>
      <c r="F23" s="155"/>
      <c r="G23" s="285" t="str">
        <f t="shared" si="0"/>
        <v>Please add original baseline and forecast date</v>
      </c>
      <c r="H23" s="285"/>
      <c r="I23" s="285"/>
      <c r="J23" s="285"/>
      <c r="K23" s="285"/>
      <c r="L23" s="285"/>
    </row>
    <row r="24" spans="1:12" s="17" customFormat="1" ht="45.75" customHeight="1" thickBot="1" x14ac:dyDescent="0.25">
      <c r="A24" s="229" t="s">
        <v>243</v>
      </c>
      <c r="B24" s="153"/>
      <c r="C24" s="153"/>
      <c r="D24" s="153"/>
      <c r="E24" s="209" t="s">
        <v>683</v>
      </c>
      <c r="F24" s="155"/>
      <c r="G24" s="285" t="str">
        <f t="shared" si="0"/>
        <v>Please add original baseline and forecast date</v>
      </c>
      <c r="H24" s="285"/>
      <c r="I24" s="285"/>
      <c r="J24" s="285"/>
      <c r="K24" s="285"/>
      <c r="L24" s="285"/>
    </row>
    <row r="25" spans="1:12" s="17" customFormat="1" ht="16.5" customHeight="1" thickBot="1" x14ac:dyDescent="0.3">
      <c r="A25" s="282" t="s">
        <v>244</v>
      </c>
      <c r="B25" s="283"/>
      <c r="C25" s="283"/>
      <c r="D25" s="283"/>
      <c r="E25" s="283"/>
      <c r="F25" s="284"/>
      <c r="G25" s="3"/>
      <c r="H25" s="3"/>
      <c r="I25" s="3"/>
      <c r="J25" s="3"/>
      <c r="K25" s="3"/>
      <c r="L25" s="3"/>
    </row>
    <row r="26" spans="1:12" s="17" customFormat="1" ht="45.75" customHeight="1" thickBot="1" x14ac:dyDescent="0.25">
      <c r="A26" s="156" t="s">
        <v>245</v>
      </c>
      <c r="B26" s="153"/>
      <c r="C26" s="153"/>
      <c r="D26" s="153"/>
      <c r="E26" s="154" t="s">
        <v>692</v>
      </c>
      <c r="F26" s="224"/>
      <c r="G26" s="285"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5"/>
      <c r="I26" s="285"/>
      <c r="J26" s="285"/>
      <c r="K26" s="285"/>
      <c r="L26" s="285"/>
    </row>
    <row r="27" spans="1:12" s="17" customFormat="1" ht="45.75" customHeight="1" x14ac:dyDescent="0.2">
      <c r="A27" s="156" t="s">
        <v>246</v>
      </c>
      <c r="B27" s="153"/>
      <c r="C27" s="153"/>
      <c r="D27" s="153"/>
      <c r="E27" s="154" t="s">
        <v>690</v>
      </c>
      <c r="F27" s="224"/>
      <c r="G27" s="285"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5"/>
      <c r="I27" s="285"/>
      <c r="J27" s="285"/>
      <c r="K27" s="285"/>
      <c r="L27" s="285"/>
    </row>
    <row r="28" spans="1:12" s="17" customFormat="1" ht="45.75" customHeight="1" x14ac:dyDescent="0.2">
      <c r="A28" s="156" t="s">
        <v>247</v>
      </c>
      <c r="B28" s="153"/>
      <c r="C28" s="153"/>
      <c r="D28" s="153"/>
      <c r="E28" s="154" t="s">
        <v>691</v>
      </c>
      <c r="F28" s="224"/>
      <c r="G28" s="285" t="str">
        <f t="shared" si="1"/>
        <v>Please add original baseline and forecast date</v>
      </c>
      <c r="H28" s="285"/>
      <c r="I28" s="285"/>
      <c r="J28" s="285"/>
      <c r="K28" s="285"/>
      <c r="L28" s="285"/>
    </row>
    <row r="29" spans="1:12" s="17" customFormat="1" ht="45.75" customHeight="1" x14ac:dyDescent="0.2">
      <c r="A29" s="156" t="s">
        <v>248</v>
      </c>
      <c r="B29" s="153"/>
      <c r="C29" s="153"/>
      <c r="D29" s="153"/>
      <c r="E29" s="154" t="s">
        <v>693</v>
      </c>
      <c r="F29" s="224"/>
      <c r="G29" s="285" t="str">
        <f t="shared" si="1"/>
        <v>Please add original baseline and forecast date</v>
      </c>
      <c r="H29" s="285"/>
      <c r="I29" s="285"/>
      <c r="J29" s="285"/>
      <c r="K29" s="285"/>
      <c r="L29" s="285"/>
    </row>
    <row r="30" spans="1:12" s="17" customFormat="1" ht="45.75" customHeight="1" x14ac:dyDescent="0.2">
      <c r="A30" s="156" t="s">
        <v>249</v>
      </c>
      <c r="B30" s="153"/>
      <c r="C30" s="153"/>
      <c r="D30" s="153"/>
      <c r="E30" s="154" t="s">
        <v>694</v>
      </c>
      <c r="F30" s="224"/>
      <c r="G30" s="285" t="str">
        <f t="shared" si="1"/>
        <v>Please add original baseline and forecast date</v>
      </c>
      <c r="H30" s="285"/>
      <c r="I30" s="285"/>
      <c r="J30" s="285"/>
      <c r="K30" s="285"/>
      <c r="L30" s="285"/>
    </row>
    <row r="31" spans="1:12" s="17" customFormat="1" ht="45.75" customHeight="1" x14ac:dyDescent="0.2">
      <c r="A31" s="226" t="s">
        <v>250</v>
      </c>
      <c r="B31" s="153"/>
      <c r="C31" s="153"/>
      <c r="D31" s="153"/>
      <c r="E31" s="154"/>
      <c r="F31" s="224"/>
      <c r="G31" s="285" t="str">
        <f t="shared" si="1"/>
        <v>Please add original baseline and forecast date</v>
      </c>
      <c r="H31" s="285"/>
      <c r="I31" s="285"/>
      <c r="J31" s="285"/>
      <c r="K31" s="285"/>
      <c r="L31" s="285"/>
    </row>
    <row r="32" spans="1:12" s="17" customFormat="1" ht="45.75" customHeight="1" x14ac:dyDescent="0.2">
      <c r="A32" s="226" t="s">
        <v>251</v>
      </c>
      <c r="B32" s="153"/>
      <c r="C32" s="153"/>
      <c r="D32" s="153"/>
      <c r="E32" s="154"/>
      <c r="F32" s="224"/>
      <c r="G32" s="285" t="str">
        <f t="shared" si="1"/>
        <v>Please add original baseline and forecast date</v>
      </c>
      <c r="H32" s="285"/>
      <c r="I32" s="285"/>
      <c r="J32" s="285"/>
      <c r="K32" s="285"/>
      <c r="L32" s="285"/>
    </row>
    <row r="33" spans="1:12" s="17" customFormat="1" ht="45.75" customHeight="1" x14ac:dyDescent="0.2">
      <c r="A33" s="226" t="s">
        <v>252</v>
      </c>
      <c r="B33" s="153"/>
      <c r="C33" s="153"/>
      <c r="D33" s="153"/>
      <c r="E33" s="154"/>
      <c r="F33" s="224"/>
      <c r="G33" s="285" t="str">
        <f t="shared" si="1"/>
        <v>Please add original baseline and forecast date</v>
      </c>
      <c r="H33" s="285"/>
      <c r="I33" s="285"/>
      <c r="J33" s="285"/>
      <c r="K33" s="285"/>
      <c r="L33" s="285"/>
    </row>
    <row r="34" spans="1:12" s="17" customFormat="1" ht="45.75" customHeight="1" x14ac:dyDescent="0.2">
      <c r="A34" s="226" t="s">
        <v>253</v>
      </c>
      <c r="B34" s="153"/>
      <c r="C34" s="153"/>
      <c r="D34" s="153"/>
      <c r="E34" s="154"/>
      <c r="F34" s="224"/>
      <c r="G34" s="285" t="str">
        <f t="shared" si="1"/>
        <v>Please add original baseline and forecast date</v>
      </c>
      <c r="H34" s="285"/>
      <c r="I34" s="285"/>
      <c r="J34" s="285"/>
      <c r="K34" s="285"/>
      <c r="L34" s="285"/>
    </row>
    <row r="35" spans="1:12" s="17" customFormat="1" ht="45.75" customHeight="1" x14ac:dyDescent="0.2">
      <c r="A35" s="226" t="s">
        <v>254</v>
      </c>
      <c r="B35" s="153"/>
      <c r="C35" s="153"/>
      <c r="D35" s="153"/>
      <c r="E35" s="154"/>
      <c r="F35" s="224"/>
      <c r="G35" s="285" t="str">
        <f t="shared" si="1"/>
        <v>Please add original baseline and forecast date</v>
      </c>
      <c r="H35" s="285"/>
      <c r="I35" s="285"/>
      <c r="J35" s="285"/>
      <c r="K35" s="285"/>
      <c r="L35" s="285"/>
    </row>
    <row r="36" spans="1:12" s="17" customFormat="1" ht="45.75" customHeight="1" x14ac:dyDescent="0.2">
      <c r="A36" s="226" t="s">
        <v>255</v>
      </c>
      <c r="B36" s="153"/>
      <c r="C36" s="153"/>
      <c r="D36" s="153"/>
      <c r="E36" s="154"/>
      <c r="F36" s="224"/>
      <c r="G36" s="285" t="str">
        <f t="shared" si="1"/>
        <v>Please add original baseline and forecast date</v>
      </c>
      <c r="H36" s="285"/>
      <c r="I36" s="285"/>
      <c r="J36" s="285"/>
      <c r="K36" s="285"/>
      <c r="L36" s="285"/>
    </row>
    <row r="37" spans="1:12" s="17" customFormat="1" ht="45.75" customHeight="1" x14ac:dyDescent="0.2">
      <c r="A37" s="226" t="s">
        <v>256</v>
      </c>
      <c r="B37" s="153"/>
      <c r="C37" s="153"/>
      <c r="D37" s="153"/>
      <c r="E37" s="154"/>
      <c r="F37" s="224"/>
      <c r="G37" s="285" t="str">
        <f t="shared" si="1"/>
        <v>Please add original baseline and forecast date</v>
      </c>
      <c r="H37" s="285"/>
      <c r="I37" s="285"/>
      <c r="J37" s="285"/>
      <c r="K37" s="285"/>
      <c r="L37" s="285"/>
    </row>
    <row r="38" spans="1:12" s="17" customFormat="1" ht="45.75" customHeight="1" x14ac:dyDescent="0.2">
      <c r="A38" s="226" t="s">
        <v>257</v>
      </c>
      <c r="B38" s="153"/>
      <c r="C38" s="153"/>
      <c r="D38" s="153"/>
      <c r="E38" s="154"/>
      <c r="F38" s="224"/>
      <c r="G38" s="285" t="str">
        <f t="shared" si="1"/>
        <v>Please add original baseline and forecast date</v>
      </c>
      <c r="H38" s="285"/>
      <c r="I38" s="285"/>
      <c r="J38" s="285"/>
      <c r="K38" s="285"/>
      <c r="L38" s="285"/>
    </row>
    <row r="39" spans="1:12" s="17" customFormat="1" ht="45.75" customHeight="1" x14ac:dyDescent="0.2">
      <c r="A39" s="226" t="s">
        <v>258</v>
      </c>
      <c r="B39" s="153"/>
      <c r="C39" s="153"/>
      <c r="D39" s="153"/>
      <c r="E39" s="154"/>
      <c r="F39" s="224"/>
      <c r="G39" s="285" t="str">
        <f t="shared" si="1"/>
        <v>Please add original baseline and forecast date</v>
      </c>
      <c r="H39" s="285"/>
      <c r="I39" s="285"/>
      <c r="J39" s="285"/>
      <c r="K39" s="285"/>
      <c r="L39" s="285"/>
    </row>
    <row r="40" spans="1:12" s="17" customFormat="1" ht="45.75" customHeight="1" x14ac:dyDescent="0.2">
      <c r="A40" s="226" t="s">
        <v>259</v>
      </c>
      <c r="B40" s="153"/>
      <c r="C40" s="153"/>
      <c r="D40" s="153"/>
      <c r="E40" s="154"/>
      <c r="F40" s="224"/>
      <c r="G40" s="285" t="str">
        <f t="shared" si="1"/>
        <v>Please add original baseline and forecast date</v>
      </c>
      <c r="H40" s="285"/>
      <c r="I40" s="285"/>
      <c r="J40" s="285"/>
      <c r="K40" s="285"/>
      <c r="L40" s="285"/>
    </row>
    <row r="41" spans="1:12" s="17" customFormat="1" x14ac:dyDescent="0.2">
      <c r="A41" s="3"/>
      <c r="B41" s="3"/>
      <c r="C41" s="3"/>
      <c r="D41" s="3"/>
      <c r="E41" s="3"/>
      <c r="F41" s="3"/>
      <c r="G41" s="285"/>
      <c r="H41" s="285"/>
      <c r="I41" s="285"/>
      <c r="J41" s="285"/>
      <c r="K41" s="285"/>
      <c r="L41" s="285"/>
    </row>
    <row r="42" spans="1:12" s="17" customFormat="1" ht="190.5" customHeight="1" x14ac:dyDescent="0.2">
      <c r="A42" s="138" t="s">
        <v>260</v>
      </c>
      <c r="B42" s="286"/>
      <c r="C42" s="286"/>
      <c r="D42" s="286"/>
      <c r="E42" s="286"/>
      <c r="F42" s="286"/>
      <c r="G42" s="285"/>
      <c r="H42" s="285"/>
      <c r="I42" s="285"/>
      <c r="J42" s="285"/>
      <c r="K42" s="285"/>
      <c r="L42" s="285"/>
    </row>
  </sheetData>
  <sheetProtection password="99CA" sheet="1" objects="1" scenarios="1"/>
  <mergeCells count="42">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A8:F8"/>
    <mergeCell ref="A25:F25"/>
    <mergeCell ref="G40:L40"/>
    <mergeCell ref="G41:L41"/>
    <mergeCell ref="B42:F42"/>
    <mergeCell ref="G42:L42"/>
    <mergeCell ref="G35:L35"/>
    <mergeCell ref="G36:L36"/>
    <mergeCell ref="G37:L37"/>
    <mergeCell ref="G38:L38"/>
    <mergeCell ref="G39:L39"/>
    <mergeCell ref="G30:L30"/>
    <mergeCell ref="G31:L31"/>
    <mergeCell ref="G32:L32"/>
    <mergeCell ref="G33:L33"/>
    <mergeCell ref="G34:L34"/>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Dropdown!$AB$2:$AB$10</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85" zoomScaleNormal="66" zoomScaleSheetLayoutView="85" workbookViewId="0">
      <selection activeCell="C37" sqref="C37"/>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297" t="s">
        <v>0</v>
      </c>
      <c r="B1" s="297"/>
      <c r="C1" s="297"/>
      <c r="D1" s="297"/>
      <c r="E1" s="297"/>
      <c r="F1" s="297"/>
      <c r="G1" s="297"/>
      <c r="H1" s="297"/>
      <c r="I1" s="297"/>
      <c r="J1" s="281" t="s">
        <v>58</v>
      </c>
      <c r="K1" s="281"/>
    </row>
    <row r="2" spans="1:11" ht="15.75" customHeight="1" x14ac:dyDescent="0.25">
      <c r="A2" s="298" t="s">
        <v>261</v>
      </c>
      <c r="B2" s="298"/>
      <c r="C2" s="298"/>
    </row>
    <row r="3" spans="1:11" x14ac:dyDescent="0.2">
      <c r="A3" s="157" t="s">
        <v>262</v>
      </c>
      <c r="B3" s="158"/>
      <c r="C3" s="158"/>
    </row>
    <row r="4" spans="1:11" ht="33" customHeight="1" x14ac:dyDescent="0.25">
      <c r="A4" s="138" t="s">
        <v>263</v>
      </c>
      <c r="B4" s="6" t="s">
        <v>264</v>
      </c>
      <c r="C4" s="228"/>
      <c r="D4" s="138" t="s">
        <v>265</v>
      </c>
      <c r="E4" s="224"/>
    </row>
    <row r="5" spans="1:11" ht="33" customHeight="1" x14ac:dyDescent="0.25">
      <c r="B5" s="6" t="s">
        <v>266</v>
      </c>
      <c r="C5" s="228"/>
    </row>
    <row r="7" spans="1:11" ht="87" customHeight="1" x14ac:dyDescent="0.2">
      <c r="A7" s="138" t="s">
        <v>222</v>
      </c>
      <c r="B7" s="150" t="s">
        <v>267</v>
      </c>
      <c r="C7" s="150" t="s">
        <v>223</v>
      </c>
      <c r="D7" s="150" t="s">
        <v>224</v>
      </c>
      <c r="E7" s="150" t="s">
        <v>268</v>
      </c>
      <c r="F7" s="137" t="s">
        <v>226</v>
      </c>
    </row>
    <row r="8" spans="1:11" ht="40.5" customHeight="1" x14ac:dyDescent="0.2">
      <c r="A8" s="159" t="s">
        <v>269</v>
      </c>
      <c r="B8" s="227"/>
      <c r="C8" s="227"/>
      <c r="D8" s="227"/>
      <c r="E8" s="132"/>
      <c r="F8" s="224"/>
      <c r="G8" s="294"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4"/>
      <c r="I8" s="294"/>
      <c r="J8" s="294"/>
    </row>
    <row r="9" spans="1:11" ht="40.5" customHeight="1" x14ac:dyDescent="0.2">
      <c r="A9" s="159" t="s">
        <v>270</v>
      </c>
      <c r="B9" s="227"/>
      <c r="C9" s="227"/>
      <c r="D9" s="227"/>
      <c r="E9" s="132"/>
      <c r="F9" s="224"/>
      <c r="G9" s="294" t="str">
        <f t="shared" si="0"/>
        <v>Please add Original Baseline and/or Forecast date if either is missing</v>
      </c>
      <c r="H9" s="294"/>
      <c r="I9" s="294"/>
      <c r="J9" s="294"/>
    </row>
    <row r="10" spans="1:11" ht="40.5" customHeight="1" x14ac:dyDescent="0.2">
      <c r="A10" s="159" t="s">
        <v>271</v>
      </c>
      <c r="B10" s="227"/>
      <c r="C10" s="227"/>
      <c r="D10" s="227"/>
      <c r="E10" s="132"/>
      <c r="F10" s="224"/>
      <c r="G10" s="294" t="str">
        <f t="shared" si="0"/>
        <v>Please add Original Baseline and/or Forecast date if either is missing</v>
      </c>
      <c r="H10" s="294"/>
      <c r="I10" s="294"/>
      <c r="J10" s="294"/>
    </row>
    <row r="11" spans="1:11" ht="40.5" customHeight="1" x14ac:dyDescent="0.2">
      <c r="A11" s="159" t="s">
        <v>272</v>
      </c>
      <c r="B11" s="227"/>
      <c r="C11" s="227"/>
      <c r="D11" s="227"/>
      <c r="E11" s="132"/>
      <c r="F11" s="224"/>
      <c r="G11" s="294" t="str">
        <f t="shared" si="0"/>
        <v>Please add Original Baseline and/or Forecast date if either is missing</v>
      </c>
      <c r="H11" s="294"/>
      <c r="I11" s="294"/>
      <c r="J11" s="294"/>
    </row>
    <row r="12" spans="1:11" ht="40.5" customHeight="1" x14ac:dyDescent="0.2">
      <c r="A12" s="159" t="s">
        <v>273</v>
      </c>
      <c r="B12" s="227"/>
      <c r="C12" s="227"/>
      <c r="D12" s="227"/>
      <c r="E12" s="132"/>
      <c r="F12" s="224"/>
      <c r="G12" s="294" t="str">
        <f t="shared" si="0"/>
        <v>Please add Original Baseline and/or Forecast date if either is missing</v>
      </c>
      <c r="H12" s="294"/>
      <c r="I12" s="294"/>
      <c r="J12" s="294"/>
    </row>
    <row r="13" spans="1:11" ht="40.5" customHeight="1" x14ac:dyDescent="0.2">
      <c r="A13" s="159" t="s">
        <v>274</v>
      </c>
      <c r="B13" s="227"/>
      <c r="C13" s="227"/>
      <c r="D13" s="227"/>
      <c r="E13" s="132"/>
      <c r="F13" s="224"/>
      <c r="G13" s="294" t="str">
        <f t="shared" si="0"/>
        <v>Please add Original Baseline and/or Forecast date if either is missing</v>
      </c>
      <c r="H13" s="294"/>
      <c r="I13" s="294"/>
      <c r="J13" s="294"/>
    </row>
    <row r="14" spans="1:11" ht="40.5" customHeight="1" x14ac:dyDescent="0.2">
      <c r="A14" s="159" t="s">
        <v>275</v>
      </c>
      <c r="B14" s="227"/>
      <c r="C14" s="227"/>
      <c r="D14" s="227"/>
      <c r="E14" s="132"/>
      <c r="F14" s="224"/>
      <c r="G14" s="294" t="str">
        <f t="shared" si="0"/>
        <v>Please add Original Baseline and/or Forecast date if either is missing</v>
      </c>
      <c r="H14" s="294"/>
      <c r="I14" s="294"/>
      <c r="J14" s="294"/>
    </row>
    <row r="15" spans="1:11" ht="40.5" customHeight="1" x14ac:dyDescent="0.2">
      <c r="A15" s="159" t="s">
        <v>276</v>
      </c>
      <c r="B15" s="227"/>
      <c r="C15" s="227"/>
      <c r="D15" s="227"/>
      <c r="E15" s="132"/>
      <c r="F15" s="224"/>
      <c r="G15" s="294" t="str">
        <f t="shared" si="0"/>
        <v>Please add Original Baseline and/or Forecast date if either is missing</v>
      </c>
      <c r="H15" s="294"/>
      <c r="I15" s="294"/>
      <c r="J15" s="294"/>
    </row>
    <row r="16" spans="1:11" ht="40.5" customHeight="1" x14ac:dyDescent="0.2">
      <c r="A16" s="226" t="s">
        <v>277</v>
      </c>
      <c r="B16" s="227"/>
      <c r="C16" s="227"/>
      <c r="D16" s="227"/>
      <c r="E16" s="132"/>
      <c r="F16" s="224"/>
      <c r="G16" s="294" t="str">
        <f t="shared" si="0"/>
        <v>Please add Original Baseline and/or Forecast date if either is missing</v>
      </c>
      <c r="H16" s="294"/>
      <c r="I16" s="294"/>
      <c r="J16" s="294"/>
    </row>
    <row r="17" spans="1:10" ht="40.5" customHeight="1" x14ac:dyDescent="0.2">
      <c r="A17" s="226" t="s">
        <v>278</v>
      </c>
      <c r="B17" s="227"/>
      <c r="C17" s="227"/>
      <c r="D17" s="227"/>
      <c r="E17" s="132"/>
      <c r="F17" s="224"/>
      <c r="G17" s="294" t="str">
        <f t="shared" si="0"/>
        <v>Please add Original Baseline and/or Forecast date if either is missing</v>
      </c>
      <c r="H17" s="294"/>
      <c r="I17" s="294"/>
      <c r="J17" s="294"/>
    </row>
    <row r="18" spans="1:10" ht="40.5" customHeight="1" x14ac:dyDescent="0.2">
      <c r="A18" s="226" t="s">
        <v>279</v>
      </c>
      <c r="B18" s="227"/>
      <c r="C18" s="227"/>
      <c r="D18" s="227"/>
      <c r="E18" s="132"/>
      <c r="F18" s="224"/>
      <c r="G18" s="294" t="str">
        <f t="shared" si="0"/>
        <v>Please add Original Baseline and/or Forecast date if either is missing</v>
      </c>
      <c r="H18" s="294"/>
      <c r="I18" s="294"/>
      <c r="J18" s="294"/>
    </row>
    <row r="19" spans="1:10" ht="40.5" customHeight="1" x14ac:dyDescent="0.2">
      <c r="A19" s="226" t="s">
        <v>280</v>
      </c>
      <c r="B19" s="227"/>
      <c r="C19" s="227"/>
      <c r="D19" s="227"/>
      <c r="E19" s="132"/>
      <c r="F19" s="224"/>
      <c r="G19" s="294" t="str">
        <f t="shared" si="0"/>
        <v>Please add Original Baseline and/or Forecast date if either is missing</v>
      </c>
      <c r="H19" s="294"/>
      <c r="I19" s="294"/>
      <c r="J19" s="294"/>
    </row>
    <row r="20" spans="1:10" ht="40.5" customHeight="1" x14ac:dyDescent="0.2">
      <c r="A20" s="226" t="s">
        <v>281</v>
      </c>
      <c r="B20" s="227"/>
      <c r="C20" s="227"/>
      <c r="D20" s="227"/>
      <c r="E20" s="132"/>
      <c r="F20" s="224"/>
      <c r="G20" s="294" t="str">
        <f t="shared" si="0"/>
        <v>Please add Original Baseline and/or Forecast date if either is missing</v>
      </c>
      <c r="H20" s="294"/>
      <c r="I20" s="294"/>
      <c r="J20" s="294"/>
    </row>
    <row r="21" spans="1:10" ht="40.5" customHeight="1" x14ac:dyDescent="0.2">
      <c r="A21" s="226" t="s">
        <v>282</v>
      </c>
      <c r="B21" s="227"/>
      <c r="C21" s="227"/>
      <c r="D21" s="227"/>
      <c r="E21" s="132"/>
      <c r="F21" s="224"/>
      <c r="G21" s="294" t="str">
        <f t="shared" si="0"/>
        <v>Please add Original Baseline and/or Forecast date if either is missing</v>
      </c>
      <c r="H21" s="294"/>
      <c r="I21" s="294"/>
      <c r="J21" s="294"/>
    </row>
    <row r="22" spans="1:10" ht="40.5" customHeight="1" x14ac:dyDescent="0.2">
      <c r="A22" s="226" t="s">
        <v>283</v>
      </c>
      <c r="B22" s="227"/>
      <c r="C22" s="227"/>
      <c r="D22" s="227"/>
      <c r="E22" s="132"/>
      <c r="F22" s="224"/>
      <c r="G22" s="294" t="str">
        <f t="shared" si="0"/>
        <v>Please add Original Baseline and/or Forecast date if either is missing</v>
      </c>
      <c r="H22" s="294"/>
      <c r="I22" s="294"/>
      <c r="J22" s="294"/>
    </row>
    <row r="23" spans="1:10" ht="40.5" customHeight="1" x14ac:dyDescent="0.2">
      <c r="A23" s="226" t="s">
        <v>284</v>
      </c>
      <c r="B23" s="227"/>
      <c r="C23" s="227"/>
      <c r="D23" s="227"/>
      <c r="E23" s="132"/>
      <c r="F23" s="224"/>
      <c r="G23" s="294" t="str">
        <f t="shared" si="0"/>
        <v>Please add Original Baseline and/or Forecast date if either is missing</v>
      </c>
      <c r="H23" s="294"/>
      <c r="I23" s="294"/>
      <c r="J23" s="294"/>
    </row>
    <row r="24" spans="1:10" ht="40.5" customHeight="1" x14ac:dyDescent="0.2">
      <c r="A24" s="226" t="s">
        <v>285</v>
      </c>
      <c r="B24" s="227"/>
      <c r="C24" s="227"/>
      <c r="D24" s="227"/>
      <c r="E24" s="132"/>
      <c r="F24" s="224"/>
      <c r="G24" s="294" t="str">
        <f t="shared" si="0"/>
        <v>Please add Original Baseline and/or Forecast date if either is missing</v>
      </c>
      <c r="H24" s="294"/>
      <c r="I24" s="294"/>
      <c r="J24" s="294"/>
    </row>
    <row r="25" spans="1:10" ht="40.5" customHeight="1" x14ac:dyDescent="0.2">
      <c r="A25" s="226" t="s">
        <v>286</v>
      </c>
      <c r="B25" s="227"/>
      <c r="C25" s="227"/>
      <c r="D25" s="227"/>
      <c r="E25" s="132"/>
      <c r="F25" s="224"/>
      <c r="G25" s="294" t="str">
        <f t="shared" si="0"/>
        <v>Please add Original Baseline and/or Forecast date if either is missing</v>
      </c>
      <c r="H25" s="294"/>
      <c r="I25" s="294"/>
      <c r="J25" s="294"/>
    </row>
    <row r="27" spans="1:10" ht="36" customHeight="1" x14ac:dyDescent="0.2">
      <c r="A27" s="295" t="s">
        <v>287</v>
      </c>
      <c r="B27" s="295"/>
      <c r="C27" s="295"/>
    </row>
    <row r="28" spans="1:10" ht="47.25" customHeight="1" x14ac:dyDescent="0.2">
      <c r="A28" s="292" t="s">
        <v>288</v>
      </c>
      <c r="B28" s="292"/>
      <c r="C28" s="292"/>
      <c r="D28" s="292"/>
      <c r="E28" s="292"/>
      <c r="F28" s="292"/>
    </row>
    <row r="30" spans="1:10" ht="24.75" customHeight="1" x14ac:dyDescent="0.2">
      <c r="B30" s="296" t="s">
        <v>289</v>
      </c>
      <c r="C30" s="296"/>
      <c r="D30" s="286"/>
      <c r="E30" s="286"/>
      <c r="F30" s="286"/>
    </row>
    <row r="31" spans="1:10" ht="38.25" customHeight="1" x14ac:dyDescent="0.2">
      <c r="A31" s="293" t="s">
        <v>290</v>
      </c>
      <c r="B31" s="138" t="s">
        <v>291</v>
      </c>
      <c r="C31" s="132"/>
      <c r="D31" s="286"/>
      <c r="E31" s="286"/>
      <c r="F31" s="286"/>
    </row>
    <row r="32" spans="1:10" ht="38.25" customHeight="1" x14ac:dyDescent="0.2">
      <c r="A32" s="293"/>
      <c r="B32" s="138" t="s">
        <v>292</v>
      </c>
      <c r="C32" s="132"/>
      <c r="D32" s="286"/>
      <c r="E32" s="286"/>
      <c r="F32" s="286"/>
    </row>
    <row r="33" spans="1:6" x14ac:dyDescent="0.2">
      <c r="D33" s="160"/>
      <c r="E33" s="161"/>
      <c r="F33" s="162"/>
    </row>
    <row r="34" spans="1:6" ht="29.25" customHeight="1" x14ac:dyDescent="0.2">
      <c r="A34" s="292" t="s">
        <v>293</v>
      </c>
      <c r="B34" s="292"/>
      <c r="C34" s="292"/>
      <c r="D34" s="292"/>
      <c r="E34" s="292"/>
      <c r="F34" s="292"/>
    </row>
    <row r="35" spans="1:6" ht="24.75" customHeight="1" x14ac:dyDescent="0.2">
      <c r="B35" s="293" t="s">
        <v>289</v>
      </c>
      <c r="C35" s="293"/>
      <c r="D35" s="286"/>
      <c r="E35" s="286"/>
      <c r="F35" s="286"/>
    </row>
    <row r="36" spans="1:6" ht="38.25" customHeight="1" x14ac:dyDescent="0.2">
      <c r="A36" s="293" t="s">
        <v>290</v>
      </c>
      <c r="B36" s="138" t="s">
        <v>291</v>
      </c>
      <c r="C36" s="132"/>
      <c r="D36" s="286"/>
      <c r="E36" s="286"/>
      <c r="F36" s="286"/>
    </row>
    <row r="37" spans="1:6" ht="38.25" customHeight="1" x14ac:dyDescent="0.2">
      <c r="A37" s="293"/>
      <c r="B37" s="138" t="s">
        <v>292</v>
      </c>
      <c r="C37" s="132"/>
      <c r="D37" s="286"/>
      <c r="E37" s="286"/>
      <c r="F37" s="286"/>
    </row>
    <row r="38" spans="1:6" ht="38.25" customHeight="1" x14ac:dyDescent="0.2"/>
  </sheetData>
  <sheetProtection password="99CA" sheet="1" objects="1" scenarios="1"/>
  <dataConsolidate/>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I1" zoomScaleNormal="87" workbookViewId="0">
      <selection activeCell="M1" sqref="M1"/>
    </sheetView>
  </sheetViews>
  <sheetFormatPr defaultRowHeight="15" x14ac:dyDescent="0.2"/>
  <cols>
    <col min="1" max="1" width="9.88671875" style="163" customWidth="1"/>
    <col min="2" max="2" width="10.6640625" style="163" customWidth="1"/>
    <col min="3" max="3" width="9.109375" style="163" customWidth="1"/>
    <col min="4" max="5" width="9.88671875" style="163" customWidth="1"/>
    <col min="6" max="6" width="14.44140625" style="163" customWidth="1"/>
    <col min="7" max="7" width="9.88671875" style="163" customWidth="1"/>
    <col min="8" max="8" width="13.33203125" style="163" customWidth="1"/>
    <col min="9" max="10" width="14.109375" style="163" customWidth="1"/>
    <col min="11" max="11" width="13.109375" style="163" customWidth="1"/>
    <col min="12" max="12" width="10.44140625" style="163" customWidth="1"/>
    <col min="13" max="14" width="14.109375" style="163" customWidth="1"/>
    <col min="15" max="15" width="10.44140625" style="163" customWidth="1"/>
    <col min="16" max="17" width="18.33203125" style="163" customWidth="1"/>
    <col min="18" max="19" width="6.88671875" style="163" customWidth="1"/>
    <col min="20" max="20" width="10.5546875" style="163" customWidth="1"/>
    <col min="21" max="21" width="9.5546875" style="163" customWidth="1"/>
    <col min="22" max="22" width="7.109375" style="163" customWidth="1"/>
    <col min="23" max="23" width="9.6640625" style="163" customWidth="1"/>
    <col min="24" max="24" width="11.5546875" style="163" customWidth="1"/>
    <col min="25" max="25" width="9.33203125" style="164" customWidth="1"/>
    <col min="26" max="26" width="6.88671875" style="164" customWidth="1"/>
    <col min="27" max="27" width="12.77734375" style="163" customWidth="1"/>
    <col min="28" max="28" width="20.88671875" style="163" customWidth="1"/>
    <col min="29" max="29" width="6.88671875" style="163" customWidth="1"/>
    <col min="30" max="30" width="9.77734375" style="163" customWidth="1"/>
    <col min="31" max="31" width="18.109375" style="163" customWidth="1"/>
    <col min="32" max="32" width="6.88671875" style="163" customWidth="1"/>
    <col min="33" max="33" width="6.88671875" style="165" customWidth="1"/>
    <col min="34" max="34" width="9.88671875" style="165" customWidth="1"/>
    <col min="35" max="35" width="6.88671875" customWidth="1"/>
    <col min="36" max="36" width="9.88671875" style="165" customWidth="1"/>
    <col min="37" max="42" width="6.88671875" style="165" customWidth="1"/>
    <col min="43" max="43" width="14.109375" style="165" customWidth="1"/>
    <col min="44" max="1024" width="6.88671875" style="163" customWidth="1"/>
  </cols>
  <sheetData>
    <row r="1" spans="1:44" s="166" customFormat="1" ht="76.5" x14ac:dyDescent="0.2">
      <c r="A1" s="166" t="s">
        <v>294</v>
      </c>
      <c r="B1" s="166" t="s">
        <v>295</v>
      </c>
      <c r="C1" s="166" t="s">
        <v>296</v>
      </c>
      <c r="D1" s="166" t="s">
        <v>297</v>
      </c>
      <c r="E1" s="166" t="s">
        <v>298</v>
      </c>
      <c r="F1" s="166" t="s">
        <v>299</v>
      </c>
      <c r="G1" s="166" t="s">
        <v>300</v>
      </c>
      <c r="H1" s="166" t="s">
        <v>301</v>
      </c>
      <c r="I1" s="166" t="s">
        <v>302</v>
      </c>
      <c r="J1" s="166" t="s">
        <v>303</v>
      </c>
      <c r="K1" s="166" t="s">
        <v>304</v>
      </c>
      <c r="L1" s="166" t="s">
        <v>305</v>
      </c>
      <c r="M1" s="166" t="s">
        <v>306</v>
      </c>
      <c r="N1" s="166" t="s">
        <v>307</v>
      </c>
      <c r="O1" s="166" t="s">
        <v>308</v>
      </c>
      <c r="P1" s="166" t="s">
        <v>309</v>
      </c>
      <c r="Q1" s="166" t="s">
        <v>310</v>
      </c>
      <c r="R1" s="166" t="s">
        <v>311</v>
      </c>
      <c r="S1" s="166" t="s">
        <v>312</v>
      </c>
      <c r="T1" s="166" t="s">
        <v>313</v>
      </c>
      <c r="U1" s="166" t="s">
        <v>314</v>
      </c>
      <c r="V1" s="166" t="s">
        <v>101</v>
      </c>
      <c r="W1" s="166" t="s">
        <v>315</v>
      </c>
      <c r="X1" s="166" t="s">
        <v>316</v>
      </c>
      <c r="Y1" s="166" t="s">
        <v>317</v>
      </c>
      <c r="Z1" s="166" t="s">
        <v>318</v>
      </c>
      <c r="AA1" s="166" t="s">
        <v>319</v>
      </c>
      <c r="AB1" s="166" t="s">
        <v>320</v>
      </c>
      <c r="AC1" s="166" t="s">
        <v>321</v>
      </c>
      <c r="AD1" s="166" t="s">
        <v>322</v>
      </c>
      <c r="AE1" s="166" t="s">
        <v>323</v>
      </c>
      <c r="AF1" s="166" t="s">
        <v>324</v>
      </c>
      <c r="AG1" s="167" t="s">
        <v>325</v>
      </c>
      <c r="AH1" s="168" t="s">
        <v>12</v>
      </c>
      <c r="AI1" s="167" t="s">
        <v>15</v>
      </c>
      <c r="AJ1" s="167" t="s">
        <v>326</v>
      </c>
      <c r="AK1" s="168" t="s">
        <v>327</v>
      </c>
      <c r="AL1" s="167" t="s">
        <v>328</v>
      </c>
      <c r="AM1" s="167" t="s">
        <v>329</v>
      </c>
      <c r="AN1" s="167" t="s">
        <v>330</v>
      </c>
      <c r="AO1" s="167" t="s">
        <v>331</v>
      </c>
      <c r="AP1" s="167" t="s">
        <v>332</v>
      </c>
      <c r="AQ1" s="167" t="s">
        <v>333</v>
      </c>
      <c r="AR1" s="169" t="s">
        <v>334</v>
      </c>
    </row>
    <row r="2" spans="1:44" ht="57" x14ac:dyDescent="0.25">
      <c r="A2" s="163" t="s">
        <v>335</v>
      </c>
      <c r="B2" s="163" t="s">
        <v>336</v>
      </c>
      <c r="C2" s="163" t="s">
        <v>337</v>
      </c>
      <c r="D2" s="163" t="s">
        <v>44</v>
      </c>
      <c r="E2" s="163" t="s">
        <v>49</v>
      </c>
      <c r="F2" s="163" t="s">
        <v>338</v>
      </c>
      <c r="G2" s="163" t="s">
        <v>339</v>
      </c>
      <c r="H2" s="163" t="s">
        <v>695</v>
      </c>
      <c r="I2" s="163" t="s">
        <v>204</v>
      </c>
      <c r="J2" s="163" t="s">
        <v>204</v>
      </c>
      <c r="K2" s="163" t="s">
        <v>340</v>
      </c>
      <c r="L2" s="163" t="s">
        <v>204</v>
      </c>
      <c r="M2" s="163" t="s">
        <v>341</v>
      </c>
      <c r="N2" s="163" t="s">
        <v>342</v>
      </c>
      <c r="O2" s="163" t="s">
        <v>343</v>
      </c>
      <c r="P2" s="163" t="s">
        <v>344</v>
      </c>
      <c r="Q2" s="163" t="s">
        <v>44</v>
      </c>
      <c r="R2" s="163" t="s">
        <v>75</v>
      </c>
      <c r="S2" s="163">
        <v>1995</v>
      </c>
      <c r="T2" s="170">
        <v>0.02</v>
      </c>
      <c r="U2" s="163" t="s">
        <v>345</v>
      </c>
      <c r="V2" s="163" t="s">
        <v>346</v>
      </c>
      <c r="W2" s="171" t="s">
        <v>347</v>
      </c>
      <c r="X2" s="171" t="s">
        <v>348</v>
      </c>
      <c r="Y2" s="172">
        <v>42551</v>
      </c>
      <c r="Z2" s="173">
        <v>0.05</v>
      </c>
      <c r="AA2" s="163" t="s">
        <v>349</v>
      </c>
      <c r="AB2" s="163" t="s">
        <v>343</v>
      </c>
      <c r="AC2" s="163" t="s">
        <v>350</v>
      </c>
      <c r="AD2" s="163" t="s">
        <v>343</v>
      </c>
      <c r="AE2" s="174">
        <v>42460</v>
      </c>
      <c r="AF2" s="175">
        <v>3</v>
      </c>
      <c r="AG2" s="165" t="s">
        <v>351</v>
      </c>
      <c r="AH2" s="176" t="s">
        <v>327</v>
      </c>
      <c r="AI2" s="165" t="s">
        <v>352</v>
      </c>
      <c r="AJ2" s="165" t="s">
        <v>684</v>
      </c>
      <c r="AK2" s="165" t="s">
        <v>352</v>
      </c>
      <c r="AL2" s="165" t="s">
        <v>353</v>
      </c>
      <c r="AM2" s="165" t="s">
        <v>354</v>
      </c>
      <c r="AN2" s="165" t="s">
        <v>355</v>
      </c>
      <c r="AO2" s="165" t="s">
        <v>356</v>
      </c>
      <c r="AQ2" s="165" t="s">
        <v>349</v>
      </c>
      <c r="AR2" s="176" t="s">
        <v>357</v>
      </c>
    </row>
    <row r="3" spans="1:44" ht="60" x14ac:dyDescent="0.25">
      <c r="A3" s="163" t="s">
        <v>358</v>
      </c>
      <c r="B3" s="177" t="s">
        <v>359</v>
      </c>
      <c r="C3" s="163" t="s">
        <v>360</v>
      </c>
      <c r="D3" s="163" t="s">
        <v>361</v>
      </c>
      <c r="E3" s="163" t="s">
        <v>362</v>
      </c>
      <c r="F3" s="163" t="s">
        <v>197</v>
      </c>
      <c r="G3" s="163" t="s">
        <v>363</v>
      </c>
      <c r="H3" s="163" t="s">
        <v>696</v>
      </c>
      <c r="I3" s="163" t="s">
        <v>364</v>
      </c>
      <c r="J3" s="163" t="s">
        <v>201</v>
      </c>
      <c r="K3" s="163" t="s">
        <v>365</v>
      </c>
      <c r="L3" s="163" t="s">
        <v>201</v>
      </c>
      <c r="M3" s="163" t="s">
        <v>366</v>
      </c>
      <c r="N3" s="163" t="s">
        <v>367</v>
      </c>
      <c r="O3" s="163" t="s">
        <v>368</v>
      </c>
      <c r="P3" s="163" t="s">
        <v>369</v>
      </c>
      <c r="Q3" s="163" t="s">
        <v>370</v>
      </c>
      <c r="R3" s="163" t="s">
        <v>371</v>
      </c>
      <c r="S3" s="163">
        <v>1996</v>
      </c>
      <c r="T3" s="170">
        <v>2.1000000000000001E-2</v>
      </c>
      <c r="U3" s="163" t="s">
        <v>372</v>
      </c>
      <c r="V3" s="163" t="s">
        <v>339</v>
      </c>
      <c r="W3" s="171" t="s">
        <v>373</v>
      </c>
      <c r="X3" s="171" t="s">
        <v>374</v>
      </c>
      <c r="Y3" s="172">
        <v>42643</v>
      </c>
      <c r="Z3" s="173">
        <v>0.1</v>
      </c>
      <c r="AA3" s="163" t="s">
        <v>375</v>
      </c>
      <c r="AB3" s="163" t="s">
        <v>368</v>
      </c>
      <c r="AC3" s="163" t="s">
        <v>376</v>
      </c>
      <c r="AD3" s="163" t="s">
        <v>368</v>
      </c>
      <c r="AE3" s="178">
        <v>42461</v>
      </c>
      <c r="AF3" s="179">
        <v>4</v>
      </c>
      <c r="AG3" s="165" t="s">
        <v>377</v>
      </c>
      <c r="AH3" s="176" t="s">
        <v>328</v>
      </c>
      <c r="AI3" s="165" t="s">
        <v>378</v>
      </c>
      <c r="AJ3" s="165" t="s">
        <v>685</v>
      </c>
      <c r="AK3" s="165" t="s">
        <v>378</v>
      </c>
      <c r="AL3" s="165" t="s">
        <v>379</v>
      </c>
      <c r="AM3" s="165" t="s">
        <v>380</v>
      </c>
      <c r="AN3" s="165" t="s">
        <v>381</v>
      </c>
      <c r="AQ3" s="165" t="s">
        <v>375</v>
      </c>
      <c r="AR3" s="176" t="s">
        <v>382</v>
      </c>
    </row>
    <row r="4" spans="1:44" ht="64.5" x14ac:dyDescent="0.25">
      <c r="A4" s="163" t="s">
        <v>383</v>
      </c>
      <c r="B4" s="177" t="s">
        <v>384</v>
      </c>
      <c r="C4" s="163" t="s">
        <v>385</v>
      </c>
      <c r="D4" s="163" t="s">
        <v>322</v>
      </c>
      <c r="E4" s="163" t="s">
        <v>386</v>
      </c>
      <c r="F4" s="180" t="s">
        <v>387</v>
      </c>
      <c r="G4" s="163" t="s">
        <v>388</v>
      </c>
      <c r="H4" s="163" t="s">
        <v>697</v>
      </c>
      <c r="I4" s="163" t="s">
        <v>201</v>
      </c>
      <c r="J4" s="163" t="s">
        <v>198</v>
      </c>
      <c r="K4" s="163" t="s">
        <v>389</v>
      </c>
      <c r="L4" s="163" t="s">
        <v>198</v>
      </c>
      <c r="M4" s="163" t="s">
        <v>390</v>
      </c>
      <c r="N4" s="163" t="s">
        <v>391</v>
      </c>
      <c r="O4" s="163" t="s">
        <v>392</v>
      </c>
      <c r="P4" s="163" t="s">
        <v>393</v>
      </c>
      <c r="Q4" s="163" t="s">
        <v>394</v>
      </c>
      <c r="S4" s="163">
        <v>1997</v>
      </c>
      <c r="T4" s="170">
        <v>2.1999999999999999E-2</v>
      </c>
      <c r="U4" s="163" t="s">
        <v>395</v>
      </c>
      <c r="V4" s="163" t="s">
        <v>396</v>
      </c>
      <c r="W4" s="171" t="s">
        <v>397</v>
      </c>
      <c r="X4" s="171" t="s">
        <v>397</v>
      </c>
      <c r="Y4" s="172">
        <v>42735</v>
      </c>
      <c r="Z4" s="173">
        <v>0.15</v>
      </c>
      <c r="AA4" s="163" t="s">
        <v>398</v>
      </c>
      <c r="AB4" s="163" t="s">
        <v>392</v>
      </c>
      <c r="AC4" s="163" t="s">
        <v>399</v>
      </c>
      <c r="AD4" s="163" t="s">
        <v>392</v>
      </c>
      <c r="AE4" s="181">
        <v>42825</v>
      </c>
      <c r="AF4" s="182">
        <v>5</v>
      </c>
      <c r="AG4" s="165" t="s">
        <v>389</v>
      </c>
      <c r="AH4" s="183" t="s">
        <v>329</v>
      </c>
      <c r="AI4" s="165" t="s">
        <v>400</v>
      </c>
      <c r="AJ4" s="184" t="s">
        <v>686</v>
      </c>
      <c r="AK4" s="165" t="s">
        <v>400</v>
      </c>
      <c r="AL4" s="165" t="s">
        <v>401</v>
      </c>
      <c r="AM4" s="165" t="s">
        <v>402</v>
      </c>
      <c r="AN4" s="165" t="s">
        <v>403</v>
      </c>
      <c r="AQ4" s="165" t="s">
        <v>398</v>
      </c>
      <c r="AR4" s="176" t="s">
        <v>404</v>
      </c>
    </row>
    <row r="5" spans="1:44" ht="57" x14ac:dyDescent="0.25">
      <c r="A5" s="163" t="s">
        <v>405</v>
      </c>
      <c r="B5" s="163" t="s">
        <v>406</v>
      </c>
      <c r="E5" s="163" t="s">
        <v>407</v>
      </c>
      <c r="F5" s="180" t="s">
        <v>408</v>
      </c>
      <c r="H5" s="163" t="s">
        <v>698</v>
      </c>
      <c r="I5" s="163" t="s">
        <v>409</v>
      </c>
      <c r="L5" s="163" t="s">
        <v>207</v>
      </c>
      <c r="M5" s="163" t="s">
        <v>410</v>
      </c>
      <c r="N5" s="163" t="s">
        <v>411</v>
      </c>
      <c r="O5" s="163" t="s">
        <v>412</v>
      </c>
      <c r="P5" s="163" t="s">
        <v>413</v>
      </c>
      <c r="S5" s="163">
        <v>1998</v>
      </c>
      <c r="T5" s="170">
        <v>2.3E-2</v>
      </c>
      <c r="U5" s="163" t="s">
        <v>414</v>
      </c>
      <c r="W5" s="171" t="s">
        <v>96</v>
      </c>
      <c r="X5" s="171" t="s">
        <v>96</v>
      </c>
      <c r="Y5" s="172">
        <v>42825</v>
      </c>
      <c r="Z5" s="173">
        <v>0.2</v>
      </c>
      <c r="AA5" s="163" t="s">
        <v>415</v>
      </c>
      <c r="AB5" s="163" t="s">
        <v>412</v>
      </c>
      <c r="AC5" s="163" t="s">
        <v>416</v>
      </c>
      <c r="AD5" s="163" t="s">
        <v>412</v>
      </c>
      <c r="AE5" s="178">
        <v>42826</v>
      </c>
      <c r="AF5" s="179">
        <v>6</v>
      </c>
      <c r="AG5" s="165" t="s">
        <v>365</v>
      </c>
      <c r="AH5" s="176" t="s">
        <v>330</v>
      </c>
      <c r="AI5" s="165" t="s">
        <v>353</v>
      </c>
      <c r="AJ5" s="165" t="s">
        <v>687</v>
      </c>
      <c r="AM5" s="165" t="s">
        <v>417</v>
      </c>
      <c r="AQ5" s="165" t="s">
        <v>415</v>
      </c>
      <c r="AR5" s="176" t="s">
        <v>418</v>
      </c>
    </row>
    <row r="6" spans="1:44" ht="83.25" customHeight="1" x14ac:dyDescent="0.25">
      <c r="A6" s="163" t="s">
        <v>419</v>
      </c>
      <c r="B6" s="177" t="s">
        <v>420</v>
      </c>
      <c r="E6" s="163" t="s">
        <v>421</v>
      </c>
      <c r="F6" s="163" t="s">
        <v>422</v>
      </c>
      <c r="H6" s="163" t="s">
        <v>699</v>
      </c>
      <c r="I6" s="163" t="s">
        <v>198</v>
      </c>
      <c r="M6" s="163" t="s">
        <v>423</v>
      </c>
      <c r="N6" s="163" t="s">
        <v>424</v>
      </c>
      <c r="O6" s="163" t="s">
        <v>425</v>
      </c>
      <c r="P6" s="163" t="s">
        <v>426</v>
      </c>
      <c r="S6" s="163">
        <v>1999</v>
      </c>
      <c r="T6" s="170">
        <v>2.4E-2</v>
      </c>
      <c r="U6" s="163" t="s">
        <v>322</v>
      </c>
      <c r="W6" s="171" t="s">
        <v>97</v>
      </c>
      <c r="X6" s="171" t="s">
        <v>97</v>
      </c>
      <c r="Y6" s="172">
        <v>42916</v>
      </c>
      <c r="Z6" s="173">
        <v>0.25</v>
      </c>
      <c r="AB6" s="163" t="s">
        <v>427</v>
      </c>
      <c r="AC6" s="163" t="s">
        <v>428</v>
      </c>
      <c r="AD6" s="163" t="s">
        <v>427</v>
      </c>
      <c r="AE6" s="181">
        <v>43190</v>
      </c>
      <c r="AF6" s="182">
        <v>7</v>
      </c>
      <c r="AG6" s="165" t="s">
        <v>340</v>
      </c>
      <c r="AH6" s="176" t="s">
        <v>331</v>
      </c>
      <c r="AI6" s="165" t="s">
        <v>379</v>
      </c>
      <c r="AJ6" s="165" t="s">
        <v>688</v>
      </c>
      <c r="AR6" s="176"/>
    </row>
    <row r="7" spans="1:44" ht="71.25" x14ac:dyDescent="0.25">
      <c r="A7" s="163" t="s">
        <v>429</v>
      </c>
      <c r="B7" s="163" t="s">
        <v>430</v>
      </c>
      <c r="E7" s="163" t="s">
        <v>431</v>
      </c>
      <c r="F7" s="163" t="s">
        <v>432</v>
      </c>
      <c r="H7" s="163" t="s">
        <v>700</v>
      </c>
      <c r="I7" s="163" t="s">
        <v>433</v>
      </c>
      <c r="M7" s="163" t="s">
        <v>434</v>
      </c>
      <c r="N7" s="163" t="s">
        <v>435</v>
      </c>
      <c r="O7" s="163" t="s">
        <v>436</v>
      </c>
      <c r="P7" s="163" t="s">
        <v>437</v>
      </c>
      <c r="S7" s="163">
        <v>2000</v>
      </c>
      <c r="T7" s="170">
        <v>2.5000000000000001E-2</v>
      </c>
      <c r="W7" s="171" t="s">
        <v>102</v>
      </c>
      <c r="X7" s="171" t="s">
        <v>102</v>
      </c>
      <c r="Y7" s="172">
        <v>43008</v>
      </c>
      <c r="Z7" s="173">
        <v>0.3</v>
      </c>
      <c r="AB7" s="163" t="s">
        <v>436</v>
      </c>
      <c r="AC7" s="163" t="s">
        <v>322</v>
      </c>
      <c r="AD7" s="163" t="s">
        <v>436</v>
      </c>
      <c r="AE7" s="178">
        <v>43191</v>
      </c>
      <c r="AF7" s="179">
        <v>8</v>
      </c>
      <c r="AG7" s="165" t="s">
        <v>438</v>
      </c>
      <c r="AH7" s="176" t="s">
        <v>439</v>
      </c>
      <c r="AI7" s="165" t="s">
        <v>401</v>
      </c>
      <c r="AJ7" s="165" t="s">
        <v>689</v>
      </c>
      <c r="AR7" s="176"/>
    </row>
    <row r="8" spans="1:44" ht="77.25" customHeight="1" x14ac:dyDescent="0.25">
      <c r="A8" s="163" t="s">
        <v>440</v>
      </c>
      <c r="B8" s="163" t="s">
        <v>441</v>
      </c>
      <c r="E8" s="185"/>
      <c r="F8" s="163" t="s">
        <v>415</v>
      </c>
      <c r="H8" s="163" t="s">
        <v>701</v>
      </c>
      <c r="M8" s="163" t="s">
        <v>442</v>
      </c>
      <c r="N8" s="163" t="s">
        <v>443</v>
      </c>
      <c r="O8" s="163" t="s">
        <v>444</v>
      </c>
      <c r="P8" s="163" t="s">
        <v>445</v>
      </c>
      <c r="S8" s="163">
        <v>2001</v>
      </c>
      <c r="T8" s="170">
        <v>2.5999999999999999E-2</v>
      </c>
      <c r="W8" s="171" t="s">
        <v>106</v>
      </c>
      <c r="X8" s="171" t="s">
        <v>106</v>
      </c>
      <c r="Y8" s="172">
        <v>43100</v>
      </c>
      <c r="Z8" s="173">
        <v>0.35</v>
      </c>
      <c r="AB8" s="163" t="s">
        <v>444</v>
      </c>
      <c r="AD8" s="163" t="s">
        <v>444</v>
      </c>
      <c r="AE8" s="181">
        <v>43555</v>
      </c>
      <c r="AF8" s="182">
        <v>9</v>
      </c>
      <c r="AG8" s="165" t="s">
        <v>446</v>
      </c>
      <c r="AI8" s="165" t="s">
        <v>354</v>
      </c>
      <c r="AJ8" s="165" t="s">
        <v>447</v>
      </c>
      <c r="AQ8" s="176"/>
    </row>
    <row r="9" spans="1:44" ht="71.25" x14ac:dyDescent="0.25">
      <c r="A9" s="163" t="s">
        <v>448</v>
      </c>
      <c r="B9" s="177" t="s">
        <v>449</v>
      </c>
      <c r="F9" s="163" t="s">
        <v>370</v>
      </c>
      <c r="M9" s="163" t="s">
        <v>450</v>
      </c>
      <c r="N9" s="163" t="s">
        <v>451</v>
      </c>
      <c r="O9" s="163" t="s">
        <v>452</v>
      </c>
      <c r="P9" s="163" t="s">
        <v>453</v>
      </c>
      <c r="Q9" s="180"/>
      <c r="S9" s="163">
        <v>2002</v>
      </c>
      <c r="T9" s="170">
        <v>2.7E-2</v>
      </c>
      <c r="W9" s="171" t="s">
        <v>108</v>
      </c>
      <c r="X9" s="171" t="s">
        <v>108</v>
      </c>
      <c r="Y9" s="172">
        <v>43190</v>
      </c>
      <c r="Z9" s="173">
        <v>0.4</v>
      </c>
      <c r="AB9" s="163" t="s">
        <v>452</v>
      </c>
      <c r="AD9" s="163" t="s">
        <v>452</v>
      </c>
      <c r="AE9" s="178">
        <v>43556</v>
      </c>
      <c r="AF9" s="179">
        <v>10</v>
      </c>
      <c r="AG9" s="165" t="s">
        <v>454</v>
      </c>
      <c r="AI9" s="165" t="s">
        <v>380</v>
      </c>
      <c r="AJ9" s="165" t="s">
        <v>455</v>
      </c>
    </row>
    <row r="10" spans="1:44" ht="69.75" customHeight="1" x14ac:dyDescent="0.25">
      <c r="A10" s="163" t="s">
        <v>456</v>
      </c>
      <c r="B10" s="163" t="s">
        <v>457</v>
      </c>
      <c r="F10" s="180" t="s">
        <v>458</v>
      </c>
      <c r="M10" s="163" t="s">
        <v>459</v>
      </c>
      <c r="N10" s="163" t="s">
        <v>460</v>
      </c>
      <c r="O10" s="163" t="s">
        <v>322</v>
      </c>
      <c r="P10" s="163" t="s">
        <v>461</v>
      </c>
      <c r="S10" s="163">
        <v>2003</v>
      </c>
      <c r="T10" s="170">
        <v>2.8000000000000001E-2</v>
      </c>
      <c r="W10" s="186" t="s">
        <v>110</v>
      </c>
      <c r="X10" s="186" t="s">
        <v>110</v>
      </c>
      <c r="Z10" s="173">
        <v>0.45</v>
      </c>
      <c r="AB10" s="163" t="s">
        <v>322</v>
      </c>
      <c r="AD10" s="163" t="s">
        <v>350</v>
      </c>
      <c r="AE10" s="181">
        <v>43921</v>
      </c>
      <c r="AF10" s="182">
        <v>11</v>
      </c>
      <c r="AG10" s="165" t="s">
        <v>462</v>
      </c>
      <c r="AI10" s="165" t="s">
        <v>402</v>
      </c>
      <c r="AJ10" s="165" t="s">
        <v>322</v>
      </c>
    </row>
    <row r="11" spans="1:44" ht="42.75" x14ac:dyDescent="0.25">
      <c r="A11" s="163" t="s">
        <v>463</v>
      </c>
      <c r="B11" s="163" t="s">
        <v>464</v>
      </c>
      <c r="F11" s="163" t="s">
        <v>322</v>
      </c>
      <c r="M11" s="163" t="s">
        <v>465</v>
      </c>
      <c r="N11" s="163" t="s">
        <v>466</v>
      </c>
      <c r="P11" s="163" t="s">
        <v>467</v>
      </c>
      <c r="S11" s="163">
        <v>2004</v>
      </c>
      <c r="T11" s="170">
        <v>2.9000000000000001E-2</v>
      </c>
      <c r="W11" s="186" t="s">
        <v>112</v>
      </c>
      <c r="X11" s="186" t="s">
        <v>112</v>
      </c>
      <c r="Z11" s="173">
        <v>0.5</v>
      </c>
      <c r="AD11" s="163" t="s">
        <v>376</v>
      </c>
      <c r="AE11" s="178">
        <v>43922</v>
      </c>
      <c r="AF11" s="179">
        <v>12</v>
      </c>
      <c r="AG11" s="165" t="s">
        <v>207</v>
      </c>
      <c r="AI11" s="165" t="s">
        <v>417</v>
      </c>
    </row>
    <row r="12" spans="1:44" ht="42.75" x14ac:dyDescent="0.25">
      <c r="A12" s="163" t="s">
        <v>468</v>
      </c>
      <c r="B12" s="163" t="s">
        <v>469</v>
      </c>
      <c r="M12" s="163" t="s">
        <v>470</v>
      </c>
      <c r="N12" s="163" t="s">
        <v>471</v>
      </c>
      <c r="S12" s="163">
        <v>2005</v>
      </c>
      <c r="T12" s="170">
        <v>0.03</v>
      </c>
      <c r="W12" s="186" t="s">
        <v>114</v>
      </c>
      <c r="X12" s="186" t="s">
        <v>114</v>
      </c>
      <c r="Z12" s="173">
        <v>0.55000000000000004</v>
      </c>
      <c r="AD12" s="163" t="s">
        <v>399</v>
      </c>
      <c r="AE12" s="181">
        <v>44286</v>
      </c>
      <c r="AF12" s="182">
        <v>13</v>
      </c>
      <c r="AI12" s="165" t="s">
        <v>355</v>
      </c>
    </row>
    <row r="13" spans="1:44" ht="42.75" x14ac:dyDescent="0.25">
      <c r="A13" s="163" t="s">
        <v>472</v>
      </c>
      <c r="B13" s="177" t="s">
        <v>473</v>
      </c>
      <c r="M13" s="163" t="s">
        <v>474</v>
      </c>
      <c r="N13" s="163" t="s">
        <v>475</v>
      </c>
      <c r="S13" s="163">
        <v>2006</v>
      </c>
      <c r="T13" s="170">
        <v>3.1E-2</v>
      </c>
      <c r="W13" s="186" t="s">
        <v>115</v>
      </c>
      <c r="X13" s="186" t="s">
        <v>115</v>
      </c>
      <c r="Z13" s="173">
        <v>0.6</v>
      </c>
      <c r="AD13" s="163" t="s">
        <v>416</v>
      </c>
      <c r="AE13" s="178">
        <v>44287</v>
      </c>
      <c r="AF13" s="179">
        <v>14</v>
      </c>
      <c r="AI13" s="165" t="s">
        <v>381</v>
      </c>
    </row>
    <row r="14" spans="1:44" ht="64.5" x14ac:dyDescent="0.25">
      <c r="A14" s="163" t="s">
        <v>476</v>
      </c>
      <c r="B14" s="186" t="s">
        <v>477</v>
      </c>
      <c r="M14" s="163" t="s">
        <v>478</v>
      </c>
      <c r="N14" s="163" t="s">
        <v>479</v>
      </c>
      <c r="S14" s="163">
        <v>2007</v>
      </c>
      <c r="T14" s="170">
        <v>3.2000000000000001E-2</v>
      </c>
      <c r="W14" s="186" t="s">
        <v>116</v>
      </c>
      <c r="X14" s="186" t="s">
        <v>116</v>
      </c>
      <c r="Z14" s="173">
        <v>0.65</v>
      </c>
      <c r="AD14" s="163" t="s">
        <v>428</v>
      </c>
      <c r="AE14" s="181">
        <v>44651</v>
      </c>
      <c r="AF14" s="182">
        <v>15</v>
      </c>
      <c r="AI14" s="165" t="s">
        <v>403</v>
      </c>
    </row>
    <row r="15" spans="1:44" ht="51.75" x14ac:dyDescent="0.25">
      <c r="A15" s="163" t="s">
        <v>480</v>
      </c>
      <c r="B15" s="186" t="s">
        <v>481</v>
      </c>
      <c r="M15" s="163" t="s">
        <v>482</v>
      </c>
      <c r="N15" s="163" t="s">
        <v>483</v>
      </c>
      <c r="S15" s="163">
        <v>2008</v>
      </c>
      <c r="T15" s="170">
        <v>3.3000000000000002E-2</v>
      </c>
      <c r="W15" s="186" t="s">
        <v>117</v>
      </c>
      <c r="X15" s="186" t="s">
        <v>117</v>
      </c>
      <c r="Z15" s="173">
        <v>0.7</v>
      </c>
      <c r="AD15" s="163" t="s">
        <v>322</v>
      </c>
      <c r="AE15" s="178">
        <v>44652</v>
      </c>
      <c r="AF15" s="179">
        <v>16</v>
      </c>
      <c r="AI15" s="165" t="s">
        <v>356</v>
      </c>
    </row>
    <row r="16" spans="1:44" ht="28.5" x14ac:dyDescent="0.25">
      <c r="A16" s="163" t="s">
        <v>484</v>
      </c>
      <c r="B16" s="187" t="s">
        <v>485</v>
      </c>
      <c r="C16" s="171"/>
      <c r="M16" s="163" t="s">
        <v>486</v>
      </c>
      <c r="N16" s="163" t="s">
        <v>487</v>
      </c>
      <c r="S16" s="163">
        <v>2009</v>
      </c>
      <c r="T16" s="170">
        <v>3.4000000000000002E-2</v>
      </c>
      <c r="W16" s="186" t="s">
        <v>118</v>
      </c>
      <c r="X16" s="186" t="s">
        <v>118</v>
      </c>
      <c r="Z16" s="173">
        <v>0.75</v>
      </c>
      <c r="AD16" s="163" t="s">
        <v>488</v>
      </c>
      <c r="AE16" s="181">
        <v>45016</v>
      </c>
      <c r="AF16" s="182">
        <v>17</v>
      </c>
      <c r="AI16" s="165" t="s">
        <v>322</v>
      </c>
    </row>
    <row r="17" spans="1:35" ht="57" x14ac:dyDescent="0.25">
      <c r="A17" s="163" t="s">
        <v>489</v>
      </c>
      <c r="B17" s="187" t="s">
        <v>490</v>
      </c>
      <c r="M17" s="163" t="s">
        <v>491</v>
      </c>
      <c r="N17" s="163" t="s">
        <v>492</v>
      </c>
      <c r="S17" s="163">
        <v>2010</v>
      </c>
      <c r="T17" s="170">
        <v>3.5000000000000003E-2</v>
      </c>
      <c r="W17" s="186" t="s">
        <v>119</v>
      </c>
      <c r="X17" s="186" t="s">
        <v>119</v>
      </c>
      <c r="Z17" s="173">
        <v>0.8</v>
      </c>
      <c r="AD17" s="163" t="s">
        <v>493</v>
      </c>
      <c r="AE17" s="188">
        <v>45017</v>
      </c>
      <c r="AF17" s="163">
        <v>18</v>
      </c>
      <c r="AI17" s="163"/>
    </row>
    <row r="18" spans="1:35" ht="42.75" x14ac:dyDescent="0.25">
      <c r="B18" s="163" t="s">
        <v>335</v>
      </c>
      <c r="C18" s="171"/>
      <c r="M18" s="163" t="s">
        <v>494</v>
      </c>
      <c r="N18" s="163" t="s">
        <v>495</v>
      </c>
      <c r="S18" s="163">
        <v>2011</v>
      </c>
      <c r="T18" s="170">
        <v>3.5999999999999997E-2</v>
      </c>
      <c r="W18" s="186" t="s">
        <v>496</v>
      </c>
      <c r="X18" s="186" t="s">
        <v>496</v>
      </c>
      <c r="Z18" s="173">
        <v>0.85</v>
      </c>
      <c r="AD18" s="163" t="s">
        <v>497</v>
      </c>
      <c r="AE18" s="188">
        <v>45382</v>
      </c>
      <c r="AF18" s="163">
        <v>19</v>
      </c>
      <c r="AI18" s="163"/>
    </row>
    <row r="19" spans="1:35" ht="28.5" x14ac:dyDescent="0.25">
      <c r="B19" s="163" t="s">
        <v>358</v>
      </c>
      <c r="M19" s="163" t="s">
        <v>498</v>
      </c>
      <c r="N19" s="163" t="s">
        <v>499</v>
      </c>
      <c r="S19" s="163">
        <v>2012</v>
      </c>
      <c r="T19" s="170">
        <v>3.6999999999999998E-2</v>
      </c>
      <c r="W19" s="186" t="s">
        <v>500</v>
      </c>
      <c r="X19" s="186" t="s">
        <v>500</v>
      </c>
      <c r="Z19" s="173">
        <v>0.9</v>
      </c>
      <c r="AD19" s="163" t="s">
        <v>501</v>
      </c>
      <c r="AE19" s="188">
        <v>45383</v>
      </c>
      <c r="AF19" s="163">
        <v>20</v>
      </c>
      <c r="AI19" s="163"/>
    </row>
    <row r="20" spans="1:35" ht="15.75" x14ac:dyDescent="0.25">
      <c r="B20" s="163" t="s">
        <v>383</v>
      </c>
      <c r="M20" s="163" t="s">
        <v>502</v>
      </c>
      <c r="N20" s="163" t="s">
        <v>503</v>
      </c>
      <c r="S20" s="163">
        <v>2013</v>
      </c>
      <c r="T20" s="170">
        <v>3.7999999999999999E-2</v>
      </c>
      <c r="W20" s="186" t="s">
        <v>504</v>
      </c>
      <c r="X20" s="186" t="s">
        <v>504</v>
      </c>
      <c r="Z20" s="173">
        <v>0.95</v>
      </c>
      <c r="AE20" s="188">
        <v>45747</v>
      </c>
      <c r="AF20" s="163">
        <v>21</v>
      </c>
      <c r="AI20" s="163"/>
    </row>
    <row r="21" spans="1:35" ht="15.75" x14ac:dyDescent="0.25">
      <c r="B21" s="163" t="s">
        <v>405</v>
      </c>
      <c r="M21" s="163" t="s">
        <v>505</v>
      </c>
      <c r="N21" s="163" t="s">
        <v>506</v>
      </c>
      <c r="S21" s="163">
        <v>2014</v>
      </c>
      <c r="T21" s="170">
        <v>3.9E-2</v>
      </c>
      <c r="W21" s="186" t="s">
        <v>507</v>
      </c>
      <c r="X21" s="186" t="s">
        <v>507</v>
      </c>
      <c r="Z21" s="173">
        <v>1</v>
      </c>
      <c r="AE21" s="188">
        <v>45748</v>
      </c>
      <c r="AF21" s="163">
        <v>22</v>
      </c>
      <c r="AI21" s="163"/>
    </row>
    <row r="22" spans="1:35" ht="15.75" x14ac:dyDescent="0.25">
      <c r="B22" s="163" t="s">
        <v>419</v>
      </c>
      <c r="M22" s="163" t="s">
        <v>508</v>
      </c>
      <c r="N22" s="163" t="s">
        <v>509</v>
      </c>
      <c r="S22" s="163">
        <v>2015</v>
      </c>
      <c r="T22" s="170">
        <v>0.04</v>
      </c>
      <c r="W22" s="163" t="s">
        <v>510</v>
      </c>
      <c r="X22" s="163" t="s">
        <v>510</v>
      </c>
      <c r="Z22" s="173"/>
      <c r="AE22" s="188">
        <v>46112</v>
      </c>
      <c r="AF22" s="163">
        <v>23</v>
      </c>
      <c r="AI22" s="163"/>
    </row>
    <row r="23" spans="1:35" ht="57" x14ac:dyDescent="0.25">
      <c r="B23" s="163" t="s">
        <v>429</v>
      </c>
      <c r="M23" s="163" t="s">
        <v>511</v>
      </c>
      <c r="N23" s="163" t="s">
        <v>512</v>
      </c>
      <c r="Q23" s="180"/>
      <c r="S23" s="163">
        <v>2016</v>
      </c>
      <c r="T23" s="170">
        <v>4.1000000000000002E-2</v>
      </c>
      <c r="W23" s="163" t="s">
        <v>513</v>
      </c>
      <c r="X23" s="163" t="s">
        <v>513</v>
      </c>
      <c r="Z23" s="173"/>
      <c r="AI23" s="163"/>
    </row>
    <row r="24" spans="1:35" ht="15.75" x14ac:dyDescent="0.25">
      <c r="B24" s="163" t="s">
        <v>440</v>
      </c>
      <c r="M24" s="163" t="s">
        <v>514</v>
      </c>
      <c r="N24" s="163" t="s">
        <v>515</v>
      </c>
      <c r="S24" s="163">
        <v>2017</v>
      </c>
      <c r="T24" s="170">
        <v>4.2000000000000003E-2</v>
      </c>
      <c r="W24" s="163" t="s">
        <v>516</v>
      </c>
      <c r="X24" s="163" t="s">
        <v>516</v>
      </c>
      <c r="Z24" s="173"/>
      <c r="AI24" s="163"/>
    </row>
    <row r="25" spans="1:35" ht="42.75" x14ac:dyDescent="0.25">
      <c r="B25" s="163" t="s">
        <v>448</v>
      </c>
      <c r="M25" s="163" t="s">
        <v>517</v>
      </c>
      <c r="N25" s="163" t="s">
        <v>518</v>
      </c>
      <c r="S25" s="163">
        <v>2018</v>
      </c>
      <c r="T25" s="170">
        <v>4.2999999999999997E-2</v>
      </c>
      <c r="W25" s="163" t="s">
        <v>519</v>
      </c>
      <c r="X25" s="163" t="s">
        <v>519</v>
      </c>
      <c r="Z25" s="173"/>
      <c r="AI25" s="163"/>
    </row>
    <row r="26" spans="1:35" ht="42.75" x14ac:dyDescent="0.25">
      <c r="B26" s="163" t="s">
        <v>456</v>
      </c>
      <c r="M26" s="163" t="s">
        <v>520</v>
      </c>
      <c r="N26" s="163" t="s">
        <v>521</v>
      </c>
      <c r="S26" s="163">
        <v>2019</v>
      </c>
      <c r="T26" s="170">
        <v>4.3999999999999997E-2</v>
      </c>
      <c r="W26" s="163" t="s">
        <v>522</v>
      </c>
      <c r="X26" s="163" t="s">
        <v>522</v>
      </c>
      <c r="Z26" s="173"/>
      <c r="AI26" s="163"/>
    </row>
    <row r="27" spans="1:35" ht="42.75" x14ac:dyDescent="0.25">
      <c r="B27" s="163" t="s">
        <v>463</v>
      </c>
      <c r="M27" s="163" t="s">
        <v>523</v>
      </c>
      <c r="N27" s="163" t="s">
        <v>524</v>
      </c>
      <c r="S27" s="163">
        <v>2020</v>
      </c>
      <c r="T27" s="170">
        <v>4.4999999999999998E-2</v>
      </c>
      <c r="W27" s="163" t="s">
        <v>525</v>
      </c>
      <c r="X27" s="163" t="s">
        <v>525</v>
      </c>
      <c r="Z27" s="173"/>
      <c r="AI27" s="163"/>
    </row>
    <row r="28" spans="1:35" ht="42.75" x14ac:dyDescent="0.25">
      <c r="B28" s="163" t="s">
        <v>468</v>
      </c>
      <c r="M28" s="163" t="s">
        <v>526</v>
      </c>
      <c r="N28" s="163" t="s">
        <v>527</v>
      </c>
      <c r="T28" s="170">
        <v>4.5999999999999999E-2</v>
      </c>
      <c r="W28" s="163" t="s">
        <v>528</v>
      </c>
      <c r="X28" s="163" t="s">
        <v>528</v>
      </c>
      <c r="Z28" s="173"/>
      <c r="AI28" s="163"/>
    </row>
    <row r="29" spans="1:35" ht="15.75" x14ac:dyDescent="0.25">
      <c r="B29" s="163" t="s">
        <v>472</v>
      </c>
      <c r="M29" s="163" t="s">
        <v>529</v>
      </c>
      <c r="T29" s="170">
        <v>4.7E-2</v>
      </c>
      <c r="W29" s="163" t="s">
        <v>530</v>
      </c>
      <c r="X29" s="163" t="s">
        <v>530</v>
      </c>
      <c r="Z29" s="173"/>
      <c r="AI29" s="163"/>
    </row>
    <row r="30" spans="1:35" ht="15.75" x14ac:dyDescent="0.25">
      <c r="B30" s="163" t="s">
        <v>476</v>
      </c>
      <c r="M30" s="180" t="s">
        <v>322</v>
      </c>
      <c r="T30" s="170">
        <v>4.8000000000000001E-2</v>
      </c>
      <c r="W30" s="163" t="s">
        <v>531</v>
      </c>
      <c r="X30" s="163" t="s">
        <v>531</v>
      </c>
      <c r="Z30" s="173"/>
      <c r="AI30" s="163"/>
    </row>
    <row r="31" spans="1:35" ht="15.75" x14ac:dyDescent="0.25">
      <c r="B31" s="163" t="s">
        <v>480</v>
      </c>
      <c r="T31" s="170">
        <v>4.9000000000000002E-2</v>
      </c>
      <c r="W31" s="163" t="s">
        <v>532</v>
      </c>
      <c r="X31" s="163" t="s">
        <v>532</v>
      </c>
      <c r="Z31" s="173"/>
      <c r="AI31" s="163"/>
    </row>
    <row r="32" spans="1:35" ht="15.75" x14ac:dyDescent="0.25">
      <c r="B32" s="163" t="s">
        <v>484</v>
      </c>
      <c r="C32" s="171"/>
      <c r="T32" s="170">
        <v>0.05</v>
      </c>
      <c r="W32" s="163" t="s">
        <v>533</v>
      </c>
      <c r="X32" s="163" t="s">
        <v>533</v>
      </c>
      <c r="Z32" s="173"/>
      <c r="AI32" s="163"/>
    </row>
    <row r="33" spans="2:35" ht="15.75" x14ac:dyDescent="0.25">
      <c r="B33" s="163" t="s">
        <v>489</v>
      </c>
      <c r="W33" s="163" t="s">
        <v>534</v>
      </c>
      <c r="X33" s="163" t="s">
        <v>534</v>
      </c>
      <c r="Z33" s="173"/>
      <c r="AI33" s="163"/>
    </row>
    <row r="34" spans="2:35" ht="15.75" x14ac:dyDescent="0.25">
      <c r="B34" s="189"/>
      <c r="W34" s="163" t="s">
        <v>535</v>
      </c>
      <c r="X34" s="163" t="s">
        <v>535</v>
      </c>
      <c r="Z34" s="173"/>
      <c r="AI34" s="163"/>
    </row>
    <row r="35" spans="2:35" ht="15.75" x14ac:dyDescent="0.25">
      <c r="B35" s="189"/>
      <c r="W35" s="163" t="s">
        <v>536</v>
      </c>
      <c r="X35" s="163" t="s">
        <v>536</v>
      </c>
      <c r="Z35" s="173"/>
      <c r="AI35" s="163"/>
    </row>
    <row r="36" spans="2:35" ht="15.75" x14ac:dyDescent="0.25">
      <c r="B36" s="189"/>
      <c r="W36" s="163" t="s">
        <v>537</v>
      </c>
      <c r="X36" s="163" t="s">
        <v>537</v>
      </c>
      <c r="Z36" s="173"/>
      <c r="AI36" s="163"/>
    </row>
    <row r="37" spans="2:35" ht="15.75" x14ac:dyDescent="0.25">
      <c r="B37" s="189"/>
      <c r="W37" s="163" t="s">
        <v>538</v>
      </c>
      <c r="X37" s="163" t="s">
        <v>538</v>
      </c>
      <c r="Z37" s="173"/>
      <c r="AI37" s="163"/>
    </row>
    <row r="38" spans="2:35" ht="15.75" x14ac:dyDescent="0.25">
      <c r="B38" s="189"/>
      <c r="W38" s="163" t="s">
        <v>539</v>
      </c>
      <c r="X38" s="163" t="s">
        <v>539</v>
      </c>
      <c r="Z38" s="173"/>
      <c r="AI38" s="163"/>
    </row>
    <row r="39" spans="2:35" ht="15.75" x14ac:dyDescent="0.25">
      <c r="B39" s="189"/>
      <c r="W39" s="163" t="s">
        <v>540</v>
      </c>
      <c r="X39" s="163" t="s">
        <v>540</v>
      </c>
      <c r="Z39" s="173"/>
      <c r="AI39" s="163"/>
    </row>
    <row r="40" spans="2:35" ht="15.75" x14ac:dyDescent="0.25">
      <c r="B40" s="189"/>
      <c r="W40" s="163" t="s">
        <v>541</v>
      </c>
      <c r="X40" s="163" t="s">
        <v>541</v>
      </c>
      <c r="Z40" s="173"/>
      <c r="AI40" s="163"/>
    </row>
    <row r="41" spans="2:35" ht="15.75" x14ac:dyDescent="0.25">
      <c r="B41" s="189"/>
      <c r="W41" s="163" t="s">
        <v>542</v>
      </c>
      <c r="X41" s="163" t="s">
        <v>542</v>
      </c>
      <c r="Z41" s="173"/>
      <c r="AI41" s="163"/>
    </row>
    <row r="42" spans="2:35" ht="15.75" x14ac:dyDescent="0.25">
      <c r="B42" s="189"/>
      <c r="W42" s="163" t="s">
        <v>543</v>
      </c>
      <c r="X42" s="163" t="s">
        <v>543</v>
      </c>
      <c r="Z42" s="173"/>
      <c r="AI42" s="163"/>
    </row>
    <row r="43" spans="2:35" ht="15.75" x14ac:dyDescent="0.25">
      <c r="B43" s="189"/>
      <c r="W43" s="163" t="s">
        <v>544</v>
      </c>
      <c r="X43" s="163" t="s">
        <v>544</v>
      </c>
      <c r="Z43" s="173"/>
      <c r="AI43" s="163"/>
    </row>
    <row r="44" spans="2:35" ht="15.75" x14ac:dyDescent="0.25">
      <c r="B44" s="189"/>
      <c r="W44" s="163" t="s">
        <v>545</v>
      </c>
      <c r="X44" s="163" t="s">
        <v>545</v>
      </c>
      <c r="Z44" s="173"/>
      <c r="AI44" s="163"/>
    </row>
    <row r="45" spans="2:35" ht="15.75" x14ac:dyDescent="0.25">
      <c r="B45" s="189"/>
      <c r="W45" s="163" t="s">
        <v>546</v>
      </c>
      <c r="X45" s="163" t="s">
        <v>546</v>
      </c>
      <c r="Z45" s="173"/>
      <c r="AI45" s="163"/>
    </row>
    <row r="46" spans="2:35" ht="15.75" x14ac:dyDescent="0.25">
      <c r="B46" s="189"/>
      <c r="W46" s="163" t="s">
        <v>547</v>
      </c>
      <c r="X46" s="163" t="s">
        <v>547</v>
      </c>
      <c r="Z46" s="173"/>
    </row>
    <row r="47" spans="2:35" ht="15.75" x14ac:dyDescent="0.25">
      <c r="B47" s="189"/>
      <c r="W47" s="163" t="s">
        <v>548</v>
      </c>
      <c r="X47" s="163" t="s">
        <v>548</v>
      </c>
      <c r="Z47" s="173"/>
    </row>
    <row r="48" spans="2:35" ht="15.75" x14ac:dyDescent="0.25">
      <c r="B48" s="189"/>
      <c r="W48" s="163" t="s">
        <v>549</v>
      </c>
      <c r="X48" s="163" t="s">
        <v>549</v>
      </c>
      <c r="Z48" s="173"/>
    </row>
    <row r="49" spans="2:26" ht="15.75" x14ac:dyDescent="0.25">
      <c r="B49" s="189"/>
      <c r="W49" s="163" t="s">
        <v>550</v>
      </c>
      <c r="X49" s="163" t="s">
        <v>550</v>
      </c>
      <c r="Z49" s="173"/>
    </row>
    <row r="50" spans="2:26" x14ac:dyDescent="0.2">
      <c r="B50" s="189"/>
      <c r="W50" s="163" t="s">
        <v>551</v>
      </c>
      <c r="X50" s="163" t="s">
        <v>551</v>
      </c>
    </row>
    <row r="51" spans="2:26" x14ac:dyDescent="0.2">
      <c r="B51" s="189"/>
      <c r="W51" s="163" t="s">
        <v>552</v>
      </c>
      <c r="X51" s="163" t="s">
        <v>552</v>
      </c>
    </row>
    <row r="52" spans="2:26" x14ac:dyDescent="0.2">
      <c r="B52" s="189"/>
      <c r="W52" s="163" t="s">
        <v>553</v>
      </c>
      <c r="X52" s="163" t="s">
        <v>553</v>
      </c>
    </row>
    <row r="53" spans="2:26" x14ac:dyDescent="0.2">
      <c r="B53" s="189"/>
      <c r="W53" s="163" t="s">
        <v>554</v>
      </c>
      <c r="X53" s="163" t="s">
        <v>554</v>
      </c>
    </row>
    <row r="54" spans="2:26" x14ac:dyDescent="0.2">
      <c r="B54" s="189"/>
      <c r="W54" s="163" t="s">
        <v>555</v>
      </c>
      <c r="X54" s="163" t="s">
        <v>555</v>
      </c>
    </row>
    <row r="55" spans="2:26" x14ac:dyDescent="0.2">
      <c r="B55" s="189"/>
      <c r="W55" s="163" t="s">
        <v>556</v>
      </c>
      <c r="X55" s="163" t="s">
        <v>556</v>
      </c>
    </row>
    <row r="56" spans="2:26" x14ac:dyDescent="0.2">
      <c r="W56" s="163" t="s">
        <v>557</v>
      </c>
      <c r="X56" s="163" t="s">
        <v>557</v>
      </c>
    </row>
    <row r="57" spans="2:26" x14ac:dyDescent="0.2">
      <c r="W57" s="163" t="s">
        <v>558</v>
      </c>
      <c r="X57" s="163" t="s">
        <v>558</v>
      </c>
    </row>
    <row r="58" spans="2:26" x14ac:dyDescent="0.2">
      <c r="W58" s="163" t="s">
        <v>559</v>
      </c>
      <c r="X58" s="163" t="s">
        <v>559</v>
      </c>
    </row>
    <row r="59" spans="2:26" x14ac:dyDescent="0.2">
      <c r="W59" s="163" t="s">
        <v>560</v>
      </c>
      <c r="X59" s="163" t="s">
        <v>560</v>
      </c>
    </row>
    <row r="60" spans="2:26" x14ac:dyDescent="0.2">
      <c r="W60" s="163" t="s">
        <v>561</v>
      </c>
      <c r="X60" s="163" t="s">
        <v>561</v>
      </c>
    </row>
    <row r="61" spans="2:26" x14ac:dyDescent="0.2">
      <c r="W61" s="163" t="s">
        <v>562</v>
      </c>
      <c r="X61" s="163" t="s">
        <v>562</v>
      </c>
    </row>
    <row r="62" spans="2:26" x14ac:dyDescent="0.2">
      <c r="W62" s="163" t="s">
        <v>563</v>
      </c>
      <c r="X62" s="163" t="s">
        <v>563</v>
      </c>
    </row>
    <row r="63" spans="2:26" x14ac:dyDescent="0.2">
      <c r="W63" s="163" t="s">
        <v>564</v>
      </c>
      <c r="X63" s="163" t="s">
        <v>564</v>
      </c>
    </row>
    <row r="64" spans="2:26" x14ac:dyDescent="0.2">
      <c r="W64" s="163" t="s">
        <v>565</v>
      </c>
      <c r="X64" s="163" t="s">
        <v>565</v>
      </c>
    </row>
    <row r="65" spans="23:24" x14ac:dyDescent="0.2">
      <c r="W65" s="163" t="s">
        <v>566</v>
      </c>
      <c r="X65" s="163" t="s">
        <v>566</v>
      </c>
    </row>
    <row r="66" spans="23:24" x14ac:dyDescent="0.2">
      <c r="W66" s="163" t="s">
        <v>567</v>
      </c>
      <c r="X66" s="163" t="s">
        <v>567</v>
      </c>
    </row>
    <row r="67" spans="23:24" x14ac:dyDescent="0.2">
      <c r="W67" s="163" t="s">
        <v>568</v>
      </c>
      <c r="X67" s="163" t="s">
        <v>568</v>
      </c>
    </row>
    <row r="68" spans="23:24" x14ac:dyDescent="0.2">
      <c r="W68" s="163" t="s">
        <v>569</v>
      </c>
      <c r="X68" s="163" t="s">
        <v>569</v>
      </c>
    </row>
    <row r="69" spans="23:24" x14ac:dyDescent="0.2">
      <c r="W69" s="163" t="s">
        <v>570</v>
      </c>
      <c r="X69" s="163" t="s">
        <v>570</v>
      </c>
    </row>
    <row r="70" spans="23:24" x14ac:dyDescent="0.2">
      <c r="W70" s="163" t="s">
        <v>571</v>
      </c>
      <c r="X70" s="163" t="s">
        <v>571</v>
      </c>
    </row>
    <row r="71" spans="23:24" x14ac:dyDescent="0.2">
      <c r="W71" s="163" t="s">
        <v>572</v>
      </c>
      <c r="X71" s="163" t="s">
        <v>572</v>
      </c>
    </row>
    <row r="72" spans="23:24" x14ac:dyDescent="0.2">
      <c r="W72" s="163" t="s">
        <v>573</v>
      </c>
      <c r="X72" s="163" t="s">
        <v>573</v>
      </c>
    </row>
    <row r="73" spans="23:24" x14ac:dyDescent="0.2">
      <c r="W73" s="163" t="s">
        <v>574</v>
      </c>
      <c r="X73" s="163" t="s">
        <v>574</v>
      </c>
    </row>
    <row r="74" spans="23:24" x14ac:dyDescent="0.2">
      <c r="W74" s="163" t="s">
        <v>575</v>
      </c>
      <c r="X74" s="163" t="s">
        <v>575</v>
      </c>
    </row>
    <row r="75" spans="23:24" x14ac:dyDescent="0.2">
      <c r="W75" s="163" t="s">
        <v>576</v>
      </c>
      <c r="X75" s="163" t="s">
        <v>576</v>
      </c>
    </row>
    <row r="76" spans="23:24" x14ac:dyDescent="0.2">
      <c r="W76" s="163" t="s">
        <v>577</v>
      </c>
      <c r="X76" s="163" t="s">
        <v>577</v>
      </c>
    </row>
    <row r="77" spans="23:24" x14ac:dyDescent="0.2">
      <c r="W77" s="163" t="s">
        <v>578</v>
      </c>
      <c r="X77" s="163" t="s">
        <v>578</v>
      </c>
    </row>
    <row r="78" spans="23:24" x14ac:dyDescent="0.2">
      <c r="W78" s="163" t="s">
        <v>579</v>
      </c>
      <c r="X78" s="163" t="s">
        <v>579</v>
      </c>
    </row>
    <row r="79" spans="23:24" x14ac:dyDescent="0.2">
      <c r="W79" s="163" t="s">
        <v>580</v>
      </c>
      <c r="X79" s="163" t="s">
        <v>580</v>
      </c>
    </row>
    <row r="80" spans="23:24" x14ac:dyDescent="0.2">
      <c r="W80" s="163" t="s">
        <v>581</v>
      </c>
      <c r="X80" s="163" t="s">
        <v>581</v>
      </c>
    </row>
    <row r="81" spans="23:24" x14ac:dyDescent="0.2">
      <c r="W81" s="163" t="s">
        <v>582</v>
      </c>
      <c r="X81" s="163" t="s">
        <v>582</v>
      </c>
    </row>
    <row r="82" spans="23:24" x14ac:dyDescent="0.2">
      <c r="W82" s="163" t="s">
        <v>583</v>
      </c>
      <c r="X82" s="163" t="s">
        <v>583</v>
      </c>
    </row>
    <row r="83" spans="23:24" x14ac:dyDescent="0.2">
      <c r="W83" s="163" t="s">
        <v>584</v>
      </c>
      <c r="X83" s="163" t="s">
        <v>584</v>
      </c>
    </row>
    <row r="84" spans="23:24" x14ac:dyDescent="0.2">
      <c r="W84" s="163" t="s">
        <v>585</v>
      </c>
      <c r="X84" s="163" t="s">
        <v>585</v>
      </c>
    </row>
    <row r="85" spans="23:24" x14ac:dyDescent="0.2">
      <c r="W85" s="163" t="s">
        <v>586</v>
      </c>
      <c r="X85" s="163" t="s">
        <v>586</v>
      </c>
    </row>
    <row r="86" spans="23:24" x14ac:dyDescent="0.2">
      <c r="W86" s="163" t="s">
        <v>587</v>
      </c>
      <c r="X86" s="163" t="s">
        <v>587</v>
      </c>
    </row>
    <row r="87" spans="23:24" x14ac:dyDescent="0.2">
      <c r="W87" s="163" t="s">
        <v>588</v>
      </c>
      <c r="X87" s="163" t="s">
        <v>588</v>
      </c>
    </row>
    <row r="88" spans="23:24" x14ac:dyDescent="0.2">
      <c r="W88" s="163" t="s">
        <v>589</v>
      </c>
      <c r="X88" s="163" t="s">
        <v>589</v>
      </c>
    </row>
    <row r="89" spans="23:24" x14ac:dyDescent="0.2">
      <c r="W89" s="163" t="s">
        <v>590</v>
      </c>
      <c r="X89" s="163" t="s">
        <v>590</v>
      </c>
    </row>
    <row r="90" spans="23:24" x14ac:dyDescent="0.2">
      <c r="W90" s="163" t="s">
        <v>591</v>
      </c>
      <c r="X90" s="163" t="s">
        <v>591</v>
      </c>
    </row>
  </sheetData>
  <sheetProtection password="99CA" sheet="1" objects="1" scenarios="1"/>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190" t="s">
        <v>601</v>
      </c>
    </row>
    <row r="12" spans="1:1" x14ac:dyDescent="0.2">
      <c r="A12" t="s">
        <v>602</v>
      </c>
    </row>
  </sheetData>
  <sheetProtection password="99CA" sheet="1" objects="1" scenarios="1"/>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191">
        <v>42832</v>
      </c>
      <c r="C2" t="s">
        <v>607</v>
      </c>
      <c r="D2" s="28" t="s">
        <v>608</v>
      </c>
    </row>
    <row r="3" spans="1:4" x14ac:dyDescent="0.2">
      <c r="A3" t="s">
        <v>609</v>
      </c>
      <c r="B3" s="191">
        <v>42835</v>
      </c>
      <c r="C3" t="s">
        <v>607</v>
      </c>
      <c r="D3" t="s">
        <v>610</v>
      </c>
    </row>
    <row r="4" spans="1:4" x14ac:dyDescent="0.2">
      <c r="A4" t="s">
        <v>611</v>
      </c>
      <c r="B4" s="191">
        <v>42838</v>
      </c>
      <c r="C4" t="s">
        <v>607</v>
      </c>
      <c r="D4" t="s">
        <v>612</v>
      </c>
    </row>
    <row r="5" spans="1:4" x14ac:dyDescent="0.2">
      <c r="A5" t="s">
        <v>613</v>
      </c>
      <c r="B5" s="191">
        <v>42872</v>
      </c>
      <c r="C5" t="s">
        <v>607</v>
      </c>
      <c r="D5" t="s">
        <v>614</v>
      </c>
    </row>
  </sheetData>
  <sheetProtection password="99CA" sheet="1" objects="1" scenarios="1"/>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192" t="s">
        <v>616</v>
      </c>
      <c r="B2" s="193"/>
      <c r="C2" s="28" t="s">
        <v>617</v>
      </c>
      <c r="E2" s="194" t="s">
        <v>618</v>
      </c>
      <c r="F2" s="195"/>
      <c r="G2" s="28" t="s">
        <v>619</v>
      </c>
      <c r="H2" s="28"/>
      <c r="I2" s="196" t="s">
        <v>620</v>
      </c>
      <c r="J2" s="197"/>
      <c r="K2" s="28" t="s">
        <v>621</v>
      </c>
      <c r="M2" s="196" t="s">
        <v>622</v>
      </c>
      <c r="N2" s="198"/>
      <c r="O2" s="28" t="s">
        <v>623</v>
      </c>
    </row>
    <row r="3" spans="1:15" ht="15.75" x14ac:dyDescent="0.25">
      <c r="A3" s="190"/>
    </row>
    <row r="4" spans="1:15" ht="76.5" customHeight="1" x14ac:dyDescent="0.25">
      <c r="A4" s="194" t="s">
        <v>624</v>
      </c>
      <c r="B4" s="199"/>
      <c r="C4" s="28" t="s">
        <v>625</v>
      </c>
      <c r="E4" s="196" t="s">
        <v>626</v>
      </c>
      <c r="F4" s="200"/>
      <c r="G4" s="28" t="s">
        <v>627</v>
      </c>
    </row>
    <row r="5" spans="1:15" ht="20.25" customHeight="1" x14ac:dyDescent="0.25">
      <c r="A5" s="194"/>
      <c r="C5" s="1"/>
    </row>
    <row r="6" spans="1:15" ht="15.75" x14ac:dyDescent="0.25">
      <c r="A6" s="190" t="s">
        <v>628</v>
      </c>
      <c r="B6" t="s">
        <v>629</v>
      </c>
    </row>
    <row r="7" spans="1:15" ht="15.75" x14ac:dyDescent="0.25">
      <c r="A7" s="190"/>
    </row>
    <row r="8" spans="1:15" ht="15.75" x14ac:dyDescent="0.25">
      <c r="A8" s="190"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01" t="s">
        <v>639</v>
      </c>
      <c r="B13" s="202" t="s">
        <v>640</v>
      </c>
      <c r="C13" s="203" t="s">
        <v>641</v>
      </c>
      <c r="D13" s="203"/>
    </row>
    <row r="14" spans="1:15" ht="60.75" customHeight="1" x14ac:dyDescent="0.2">
      <c r="B14" s="202" t="s">
        <v>642</v>
      </c>
      <c r="C14" s="203" t="s">
        <v>643</v>
      </c>
      <c r="D14" s="203"/>
      <c r="H14" s="300" t="s">
        <v>644</v>
      </c>
      <c r="I14" s="300"/>
      <c r="J14" s="300"/>
      <c r="K14" s="300"/>
      <c r="L14" s="300"/>
      <c r="M14" s="300"/>
      <c r="N14" s="300"/>
    </row>
    <row r="15" spans="1:15" x14ac:dyDescent="0.2">
      <c r="B15" s="202"/>
      <c r="C15" s="203"/>
      <c r="D15" s="203"/>
    </row>
    <row r="16" spans="1:15" ht="45.75" customHeight="1" x14ac:dyDescent="0.2">
      <c r="A16" s="204" t="s">
        <v>645</v>
      </c>
      <c r="B16" s="301" t="s">
        <v>646</v>
      </c>
      <c r="C16" s="301"/>
      <c r="D16" s="301"/>
      <c r="E16" s="301"/>
    </row>
    <row r="18" spans="1:11" ht="15.75" x14ac:dyDescent="0.25">
      <c r="A18" s="190" t="s">
        <v>647</v>
      </c>
      <c r="B18" t="s">
        <v>648</v>
      </c>
    </row>
    <row r="19" spans="1:11" ht="15.75" x14ac:dyDescent="0.25">
      <c r="A19" s="190"/>
    </row>
    <row r="20" spans="1:11" ht="78.75" customHeight="1" x14ac:dyDescent="0.2">
      <c r="A20" s="205" t="s">
        <v>649</v>
      </c>
      <c r="B20" s="299" t="s">
        <v>650</v>
      </c>
      <c r="C20" s="299"/>
      <c r="D20" s="299"/>
      <c r="E20" s="299"/>
      <c r="F20" s="299"/>
      <c r="G20" s="299"/>
      <c r="H20" s="299"/>
    </row>
    <row r="21" spans="1:11" ht="15.75" customHeight="1" x14ac:dyDescent="0.2">
      <c r="A21" s="205"/>
      <c r="B21" s="206"/>
      <c r="C21" s="206"/>
      <c r="D21" s="206"/>
      <c r="E21" s="206"/>
      <c r="F21" s="206"/>
      <c r="G21" s="206"/>
      <c r="H21" s="206"/>
    </row>
    <row r="22" spans="1:11" ht="122.25" customHeight="1" x14ac:dyDescent="0.2">
      <c r="A22" s="205" t="s">
        <v>651</v>
      </c>
      <c r="B22" s="299" t="s">
        <v>652</v>
      </c>
      <c r="C22" s="299"/>
      <c r="D22" s="299"/>
      <c r="E22" s="299"/>
      <c r="F22" s="299"/>
      <c r="G22" s="299"/>
      <c r="H22" s="299"/>
    </row>
    <row r="24" spans="1:11" ht="31.5" x14ac:dyDescent="0.25">
      <c r="A24" s="194" t="s">
        <v>653</v>
      </c>
      <c r="B24" t="s">
        <v>654</v>
      </c>
    </row>
    <row r="26" spans="1:11" ht="63" customHeight="1" x14ac:dyDescent="0.2">
      <c r="A26" s="201" t="s">
        <v>655</v>
      </c>
      <c r="B26" s="299" t="s">
        <v>656</v>
      </c>
      <c r="C26" s="299"/>
      <c r="D26" s="299"/>
      <c r="E26" s="299"/>
      <c r="F26" s="299" t="s">
        <v>657</v>
      </c>
      <c r="G26" s="299"/>
      <c r="H26" s="299"/>
      <c r="I26" s="299"/>
      <c r="J26" s="299"/>
      <c r="K26" s="299"/>
    </row>
    <row r="28" spans="1:11" ht="120.75" customHeight="1" x14ac:dyDescent="0.2">
      <c r="A28" s="207" t="s">
        <v>658</v>
      </c>
      <c r="B28" s="299" t="s">
        <v>659</v>
      </c>
      <c r="C28" s="299"/>
      <c r="D28" s="299" t="s">
        <v>660</v>
      </c>
      <c r="E28" s="299"/>
      <c r="F28" s="299"/>
      <c r="G28" s="299"/>
    </row>
    <row r="30" spans="1:11" ht="15.75" x14ac:dyDescent="0.25">
      <c r="A30" s="190" t="s">
        <v>661</v>
      </c>
      <c r="B30" t="s">
        <v>662</v>
      </c>
    </row>
    <row r="32" spans="1:11" ht="15.75" x14ac:dyDescent="0.25">
      <c r="A32" s="190" t="s">
        <v>663</v>
      </c>
      <c r="B32" t="s">
        <v>664</v>
      </c>
      <c r="E32" t="s">
        <v>665</v>
      </c>
    </row>
    <row r="33" spans="5:5" x14ac:dyDescent="0.2">
      <c r="E33" t="s">
        <v>666</v>
      </c>
    </row>
    <row r="34" spans="5:5" x14ac:dyDescent="0.2">
      <c r="E34" t="s">
        <v>667</v>
      </c>
    </row>
    <row r="35" spans="5:5" x14ac:dyDescent="0.2">
      <c r="E35" t="s">
        <v>668</v>
      </c>
    </row>
  </sheetData>
  <sheetProtection password="99CA" sheet="1" objects="1" scenarios="1"/>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2017-12-12T11:59:10Z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